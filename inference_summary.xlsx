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siddiq2/Downloads/FBCENC_Access/"/>
    </mc:Choice>
  </mc:AlternateContent>
  <xr:revisionPtr revIDLastSave="0" documentId="13_ncr:1_{BC7FF17A-4FAC-924C-AB81-65A68A560001}" xr6:coauthVersionLast="47" xr6:coauthVersionMax="47" xr10:uidLastSave="{00000000-0000-0000-0000-000000000000}"/>
  <bookViews>
    <workbookView xWindow="0" yWindow="700" windowWidth="27040" windowHeight="152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2" i="1"/>
</calcChain>
</file>

<file path=xl/sharedStrings.xml><?xml version="1.0" encoding="utf-8"?>
<sst xmlns="http://schemas.openxmlformats.org/spreadsheetml/2006/main" count="1125" uniqueCount="981">
  <si>
    <t>gold</t>
  </si>
  <si>
    <t>pred</t>
  </si>
  <si>
    <t>Food Box pick up Tuesday and Thursday 8:30AM to 9:30AM. Please call by 9:00 any day to be added to the list</t>
  </si>
  <si>
    <t>[{'Day': 'tuesday', 'Opening_Hour': '08:30 am', 'Closing_Hour': '09:30 am', 'Week': ['1', '2', '3', '4']}, {'Day': 'thursday', 'Opening_Hour': '08:30 am', 'Closing_Hour': '09:30 am', 'Week': ['1', '2', '3', '4']}]</t>
  </si>
  <si>
    <t>Lunch 11:00AM to 12:00PM</t>
  </si>
  <si>
    <t>[]</t>
  </si>
  <si>
    <t>MWF 12:45-1:30pm; 3rd Wednesday (Food Bags); Saturdays at 12:45-1:30 pm; Sundays 12:30-1 pm</t>
  </si>
  <si>
    <t>[{'Day': 'monday', 'Opening_Hour': '12:45 pm', 'Closing_Hour': '01:30 pm', 'Week': ['1', '2', '3', '4']}, {'Day': 'wednesday', 'Opening_Hour': '12:45 pm', 'Closing_Hour': '01:30 pm', 'Week': ['1', '2', '3', '4']}, {'Day': 'friday', 'Opening_Hour': '12:45 pm', 'Closing_Hour': '01:30 pm', 'Week': ['1', '2', '3', '4']}, {'Day': 'wednesday', 'Opening_Hour': '12:45 pm', 'Closing_Hour': '01:30 pm', 'Week': ['3']}, {'Day': 'saturday', 'Opening_Hour': '12:45 pm', 'Closing_Hour': '01:30 pm', 'Week': ['1', '2', '3', '4']}, {'Day': 'sunday', 'Opening_Hour': '12:30 pm', 'Closing_Hour': '01:00 pm', 'Week': ['1', '2', '3', '4']}]</t>
  </si>
  <si>
    <t>Last Tuesday of the month from 10:00AM to 12:00PM, or  pick up by appointment please call or text (301)751-4870</t>
  </si>
  <si>
    <t>[{'Day': 'tuesday', 'Opening_Hour': '10:00 am', 'Closing_Hour': '12:00 pm', 'Week': ['1', '2', '3', '4']}]</t>
  </si>
  <si>
    <t>M 4:30- 6:30 pm. WF/9am-12pm</t>
  </si>
  <si>
    <t>[{'Day': 'monday', 'Opening_Hour': '04:30 pm', 'Closing_Hour': '06:30 pm', 'Week': ['1', '2', '3', '4']}, {'Day': 'wednesday', 'Opening_Hour': '09:00 am', 'Closing_Hour': '12:00 pm', 'Week': ['1', '2', '3', '4']}]</t>
  </si>
  <si>
    <t>Tuesdays 10:00am - 1:00pm</t>
  </si>
  <si>
    <t>Wednesday 10:00am - 1:00pm</t>
  </si>
  <si>
    <t>Fridays from 11:00AM to 12:00PM</t>
  </si>
  <si>
    <t>[{'Day': 'friday', 'Opening_Hour': '11:00 am', 'Closing_Hour': '12:00 pm', 'Week': ['1', '2', '3', '4']}]</t>
  </si>
  <si>
    <t>1st &amp; 3rd Tuesday and Wednesday of each month</t>
  </si>
  <si>
    <t>[{'Day': 'tuesday', 'Opening_Hour': 'unknown', 'Closing_Hour': 'unknown', 'Week': ['1', '3']}, {'Day': 'wednesday', 'Opening_Hour': 'unknown', 'Closing_Hour': 'unknown', 'Week': ['1', '3']}]</t>
  </si>
  <si>
    <t>2nd Tuesday 1-2:30 and Appointment only</t>
  </si>
  <si>
    <t>[{'Day': 'tuesday', 'Opening_Hour': '01:00 pm', 'Closing_Hour': '02:30 pm', 'Week': ['2']}]</t>
  </si>
  <si>
    <t>Wednesday 10:00am-1:00pm and 5:00pm-7:00pm, Tursday 10:00am-1:00pm</t>
  </si>
  <si>
    <t>[{'Day': 'wednesday', 'Opening_Hour': '10:00 am', 'Closing_Hour': '01:00 pm', 'Week': ['1', '2', '3', '4']}, {'Day': 'thursday', 'Opening_Hour': '10:00 am', 'Closing_Hour': '01:00 pm', 'Week': ['1', '2', '3', '4']}]</t>
  </si>
  <si>
    <t>3rd Friday/month 9:30-11am, and as needed</t>
  </si>
  <si>
    <t>[{'Day': 'friday', 'Opening_Hour': '09:30 am', 'Closing_Hour': '11:00 am', 'Week': ['3']}]</t>
  </si>
  <si>
    <t>Walk In Choice Food Pantry Monday-Thursday 10:00AM -2:00PM. Drive Thru pick up Friday 10:00AM- 12:00PM</t>
  </si>
  <si>
    <t>[{'Day': 'monday', 'Opening_Hour': '10:00 am', 'Closing_Hour': '02:00 pm', 'Week': ['1', '2', '3', '4']}, {'Day': 'tuesday', 'Opening_Hour': '10:00 am', 'Closing_Hour': '02:00 pm', 'Week': ['1', '2', '3', '4']}, {'Day': 'wednesday', 'Opening_Hour': '10:00 am', 'Closing_Hour': '02:00 pm', 'Week': ['1', '2', '3', '4']}, {'Day': 'thursday', 'Opening_Hour': '10:00 am', 'Closing_Hour': '02:00 pm', 'Week': ['1', '2', '3', '4']}, {'Day': 'friday', 'Opening_Hour': '10:00 am', 'Closing_Hour': '12:00 pm', 'Week': ['1', '2', '3', '4']}]</t>
  </si>
  <si>
    <t>2nd, 4th Thursdays, 4pm to 6pm</t>
  </si>
  <si>
    <t>[{'Day': 'thursday', 'Opening_Hour': '04:00 pm', 'Closing_Hour': '06:00 pm', 'Week': ['2', '4']}]</t>
  </si>
  <si>
    <t>Thursdays, 12-2pm</t>
  </si>
  <si>
    <t>[{'Day': 'thursday', 'Opening_Hour': '12:00 pm', 'Closing_Hour': '02:00 pm', 'Week': ['1', '2', '3', '4']}]</t>
  </si>
  <si>
    <t>M, W, and F 9:00AM to 11:45AM</t>
  </si>
  <si>
    <t>[{'Day': 'monday', 'Opening_Hour': '09:00 am', 'Closing_Hour': '11:45 am', 'Week': ['1', '2', '3', '4']}, {'Day': 'wednesday', 'Opening_Hour': '09:00 am', 'Closing_Hour': '11:45 am', 'Week': ['1', '2', '3', '4']}, {'Day': 'friday', 'Opening_Hour': '09:00 am', 'Closing_Hour': '11:45 am', 'Week': ['1', '2', '3', '4']}]</t>
  </si>
  <si>
    <t>Every Sunday from 1PM - 3 PM</t>
  </si>
  <si>
    <t>[{'Day': 'sunday', 'Opening_Hour': '01:00 pm', 'Closing_Hour': '03:00 pm', 'Week': ['1', '2', '3', '4']}]</t>
  </si>
  <si>
    <t>Call for Appointment</t>
  </si>
  <si>
    <t>[{'Day': 'monday', 'Opening_Hour': 'unknown', 'Closing_Hour': 'unknown', 'Week': ['1', '2', '3', '4']}, {'Day': 'tuesday', 'Opening_Hour': 'unknown', 'Closing_Hour': 'unknown', 'Week': ['1', '2', '3', '4']}, {'Day': 'wednesday', 'Opening_Hour': 'unknown', 'Closing_Hour': 'unknown', 'Week': ['1', '2', '3', '4']}, {'Day': 'thursday', 'Opening_Hour': 'unknown', 'Closing_Hour': 'unknown', 'Week': ['1', '2', '3', '4']}, {'Day': 'friday', 'Opening_Hour': 'unknown', 'Closing_Hour': 'unknown', 'Week': ['1', '2', '3', '4']}]</t>
  </si>
  <si>
    <t>2nd and 4th Saturdays 9am-10am</t>
  </si>
  <si>
    <t>[{'Day': 'saturday', 'Opening_Hour': '09:00 am', 'Closing_Hour': '10:00 am', 'Week': ['2', '4']}]</t>
  </si>
  <si>
    <t>4th Friday of Each Month at 8am</t>
  </si>
  <si>
    <t>[{'Day': 'friday', 'Opening_Hour': '08:00 am', 'Closing_Hour': 'unknown', 'Week': ['4']}]</t>
  </si>
  <si>
    <t>Monday -Friday, By Appointment</t>
  </si>
  <si>
    <t>1st and 3rd Thursday of each Month from 10:30am-12:00pm</t>
  </si>
  <si>
    <t>[{'Day': 'thursday', 'Opening_Hour': '10:30 am', 'Closing_Hour': '12:00 pm', 'Week': ['1', '3']}]</t>
  </si>
  <si>
    <t>Thursdays 8:30 - 10:30am</t>
  </si>
  <si>
    <t>[{'Day': 'thursday', 'Opening_Hour': '08:30 am', 'Closing_Hour': '10:30 am', 'Week': ['1', '2', '3', '4']}]</t>
  </si>
  <si>
    <t>Tuesdays &amp; Thursdays, 10:00am-12:00pm</t>
  </si>
  <si>
    <t>[{'Day': 'tuesday', 'Opening_Hour': '10:00 am', 'Closing_Hour': '12:00 pm', 'Week': ['1', '2', '3', '4']}, {'Day': 'thursday', 'Opening_Hour': '10:00 am', 'Closing_Hour': '12:00 pm', 'Week': ['1', '2', '3', '4']}]</t>
  </si>
  <si>
    <t>Every Wednesday from 12:00 noon until 1:00 p.m</t>
  </si>
  <si>
    <t>[{'Day': 'wednesday', 'Opening_Hour': '12:00 pm', 'Closing_Hour': '01:00 pm', 'Week': ['1', '2', '3', '4']}]</t>
  </si>
  <si>
    <t>Wednesdays 12:00PM to 3:00PM, 3rd Friday TEFAP drive thru distribution 8:00AM</t>
  </si>
  <si>
    <t>[{'Day': 'wednesday', 'Opening_Hour': '12:00 pm', 'Closing_Hour': '03:00 pm', 'Week': ['1', '2', '3', '4']}, {'Day': 'friday', 'Opening_Hour': 'unknown', 'Closing_Hour': 'unknown', 'Week': ['3']}]</t>
  </si>
  <si>
    <t>Monday thru Sunday 1:00PM to 3:00PM, 2nd Monday 2:00PM Drive Thru, 4th Tuesday 5:00PM to 6:00PM Drive Thru</t>
  </si>
  <si>
    <t>[{'Day': 'monday', 'Opening_Hour': '01:00 pm', 'Closing_Hour': '03:00 pm', 'Week': ['1', '2', '3', '4']}, {'Day': 'tuesday', 'Opening_Hour': '01:00 pm', 'Closing_Hour': '03:00 pm', 'Week': ['1', '2', '3', '4']}, {'Day': 'wednesday', 'Opening_Hour': '01:00 pm', 'Closing_Hour': '03:00 pm', 'Week': ['1', '2', '3', '4']}, {'Day': 'thursday', 'Opening_Hour': '01:00 pm', 'Closing_Hour': '03:00 pm', 'Week': ['1', '2', '3', '4']}, {'Day': 'friday', 'Opening_Hour': '01:00 pm', 'Closing_Hour': '03:00 pm', 'Week': ['1', '2', '3', '4']}, {'Day': 'saturday', 'Opening_Hour': '01:00 pm', 'Closing_Hour': '03:00 pm', 'Week': ['1', '2', '3', '4']}, {'Day': 'sunday', 'Opening_Hour': '01:00 pm', 'Closing_Hour': '03:00 pm', 'Week': ['1', '2', '3', '4']}, {'Day': 'monday', 'Opening_Hour': 'unknown', 'Closing_Hour': 'unknown', 'Week': ['2']}, {'Day': 'tuesday', 'Opening_Hour': 'unknown', 'Closing_Hour': 'unknown', 'Week': ['4']}]</t>
  </si>
  <si>
    <t>Tuesday 4:00 PM - 6:00 PM and 3rd Saturday 10:00 AM - Noon</t>
  </si>
  <si>
    <t>Monday - Friday 10:30am - 12:00pm, 2nd and 4th Saturday 10:00am - 12:00pm</t>
  </si>
  <si>
    <t>[{'Day': 'monday', 'Opening_Hour': '10:30 am', 'Closing_Hour': '12:00 pm', 'Week': ['1', '2', '3', '4']}, {'Day': 'tuesday', 'Opening_Hour': '10:30 am', 'Closing_Hour': '12:00 pm', 'Week': ['1', '2', '3', '4']}, {'Day': 'wednesday', 'Opening_Hour': '10:30 am', 'Closing_Hour': '12:00 pm', 'Week': ['1', '2', '3', '4']}, {'Day': 'thursday', 'Opening_Hour': '10:30 am', 'Closing_Hour': '12:00 pm', 'Week': ['1', '2', '3', '4']}, {'Day': 'friday', 'Opening_Hour': '10:30 am', 'Closing_Hour': '12:00 pm', 'Week': ['1', '2', '3', '4']}, {'Day': 'saturday', 'Opening_Hour': '10:00 am', 'Closing_Hour': '12:00 pm', 'Week': ['2', '4']}]</t>
  </si>
  <si>
    <t>Saturdays 11:00AM to 1:00PM by appointment please call (336)592-0640, Sundays 1:00PM-3:00PM</t>
  </si>
  <si>
    <t>[{'Day': 'saturday', 'Opening_Hour': '11:00 am', 'Closing_Hour': '01:00 pm', 'Week': ['1', '2', '3', '4']}, {'Day': 'sunday', 'Opening_Hour': '01:00 pm', 'Closing_Hour': '03:00 pm', 'Week': ['1', '2', '3', '4']}]</t>
  </si>
  <si>
    <t>M-F 12pm-1pm</t>
  </si>
  <si>
    <t>[{'Day': 'monday', 'Opening_Hour': '12:00 pm', 'Closing_Hour': '01:00 pm', 'Week': ['1', '2', '3', '4']}, {'Day': 'tuesday', 'Opening_Hour': '12:00 pm', 'Closing_Hour': '01:00 pm', 'Week': ['1', '2', '3', '4']}, {'Day': 'wednesday', 'Opening_Hour': '12:00 pm', 'Closing_Hour': '01:00 pm', 'Week': ['1', '2', '3', '4']}, {'Day': 'thursday', 'Opening_Hour': '12:00 pm', 'Closing_Hour': '01:00 pm', 'Week': ['1', '2', '3', '4']}, {'Day': 'friday', 'Opening_Hour': '12:00 pm', 'Closing_Hour': '01:00 pm', 'Week': ['1', '2', '3', '4']}]</t>
  </si>
  <si>
    <t>1st and 3rd Saturdays from 9:00 am until 12:00 noon</t>
  </si>
  <si>
    <t>[{'Day': 'saturday', 'Opening_Hour': '09:00 am', 'Closing_Hour': '12:00 pm', 'Week': ['1', '3']}]</t>
  </si>
  <si>
    <t>3rd Wednesdays 10:00am-12:00pm</t>
  </si>
  <si>
    <t>[{'Day': 'wednesday', 'Opening_Hour': '10:00 am', 'Closing_Hour': '12:00 pm', 'Week': ['3']}]</t>
  </si>
  <si>
    <t>Tuesday/Wednesday 11-1:30; Fridays emergency only</t>
  </si>
  <si>
    <t>[{'Day': 'tuesday', 'Opening_Hour': '11:00 am', 'Closing_Hour': '01:30 pm', 'Week': ['1', '2', '3', '4']}, {'Day': 'wednesday', 'Opening_Hour': '11:00 am', 'Closing_Hour': '01:30 pm', 'Week': ['1', '2', '3', '4']}, {'Day': 'friday', 'Opening_Hour': 'unknown', 'Closing_Hour': 'unknown', 'Week': ['1', '2', '3', '4']}]</t>
  </si>
  <si>
    <t>2nd, 3rd and 4th Thursdays from 10:00AM to 12:00PM, Drive Thru</t>
  </si>
  <si>
    <t>[{'Day': 'thursday', 'Opening_Hour': '10:00 am', 'Closing_Hour': '12:00 pm', 'Week': ['2', '3', '4']}]</t>
  </si>
  <si>
    <t>Wednesday from 5:30-6pm Bread on Fridays</t>
  </si>
  <si>
    <t>1st &amp; 2nd Wed 10-1pm; and as needed</t>
  </si>
  <si>
    <t>[{'Day': 'wednesday', 'Opening_Hour': '10:00 am', 'Closing_Hour': '01:00 pm', 'Week': ['1', '2']}]</t>
  </si>
  <si>
    <t>Monday-Friday, 9am-5pm; Tues &amp; Wed 5-7pm</t>
  </si>
  <si>
    <t>[{'Day': 'monday', 'Opening_Hour': '09:00 am', 'Closing_Hour': '05:00 pm', 'Week': ['1', '2', '3', '4']}, {'Day': 'tuesday', 'Opening_Hour': '09:00 am', 'Closing_Hour': '05:00 pm', 'Week': ['1', '2', '3', '4']}, {'Day': 'wednesday', 'Opening_Hour': '09:00 am', 'Closing_Hour': '05:00 pm', 'Week': ['1', '2', '3', '4']}, {'Day': 'thursday', 'Opening_Hour': '09:00 am', 'Closing_Hour': '05:00 pm', 'Week': ['1', '2', '3', '4']}, {'Day': 'friday', 'Opening_Hour': '09:00 am', 'Closing_Hour': '05:00 pm', 'Week': ['1', '2', '3', '4']}]</t>
  </si>
  <si>
    <t>Breakfast at 6:15-7am; lunch at 11:15am-12:30pm; dinner at 6:15-7pm</t>
  </si>
  <si>
    <t>Wednesday's from 5:00PM to 6:00PM</t>
  </si>
  <si>
    <t>[{'Day': 'wednesday', 'Opening_Hour': '05:00 pm', 'Closing_Hour': '06:00 pm', 'Week': ['1', '2', '3', '4']}]</t>
  </si>
  <si>
    <t>2nd and 4th Saturday, 9:30-10:30am</t>
  </si>
  <si>
    <t>1st Monday of the month 3-5PM,3rd Sunday from 1PM-4PM</t>
  </si>
  <si>
    <t>[{'Day': 'monday', 'Opening_Hour': '03:00 pm', 'Closing_Hour': '05:00 pm', 'Week': ['1']}, {'Day': 'sunday', 'Opening_Hour': '01:00 pm', 'Closing_Hour': '04:00 pm', 'Week': ['3']}]</t>
  </si>
  <si>
    <t>First Friday of the month at 11:00AM</t>
  </si>
  <si>
    <t>[{'Day': 'friday', 'Opening_Hour': '11:00 am', 'Closing_Hour': 'unknown', 'Week': ['1', '2', '3', '4']}]</t>
  </si>
  <si>
    <t>Wednesds 9:30am-12:00pm</t>
  </si>
  <si>
    <t>[{'Day': 'wednesday', 'Opening_Hour': '09:30 am', 'Closing_Hour': '12:00 pm', 'Week': ['1', '2', '3', '4']}]</t>
  </si>
  <si>
    <t>Saturdays 9:30am -11:30am</t>
  </si>
  <si>
    <t>[{'Day': 'saturday', 'Opening_Hour': '09:30 am', 'Closing_Hour': '11:30 am', 'Week': ['1', '2', '3', '4']}]</t>
  </si>
  <si>
    <t>Thurs 2-4pm</t>
  </si>
  <si>
    <t>[{'Day': 'thursday', 'Opening_Hour': '02:00 pm', 'Closing_Hour': '04:00 pm', 'Week': ['1', '2', '3', '4']}]</t>
  </si>
  <si>
    <t>2nd Friday 5:00Pm to 7:00PM, 3rd Friday 9:00AM to 11:00AM By Appt only please call (336)503-3992</t>
  </si>
  <si>
    <t>[{'Day': 'friday', 'Opening_Hour': '05:00 pm', 'Closing_Hour': '07:00 pm', 'Week': ['2']}, {'Day': 'friday', 'Opening_Hour': '09:00 am', 'Closing_Hour': '11:00 am', 'Week': ['3']}]</t>
  </si>
  <si>
    <t>Tuesdays 9:00am -12:00pm, Thursday 9:30am - 12:30pm</t>
  </si>
  <si>
    <t>[{'Day': 'tuesday', 'Opening_Hour': '09:00 am', 'Closing_Hour': '12:00 pm', 'Week': ['1', '2', '3', '4']}, {'Day': 'thursday', 'Opening_Hour': '09:30 am', 'Closing_Hour': '12:30 pm', 'Week': ['1', '2', '3', '4']}]</t>
  </si>
  <si>
    <t>Wednesdays 10:00am-11:00am</t>
  </si>
  <si>
    <t>[{'Day': 'wednesday', 'Opening_Hour': '10:00 am', 'Closing_Hour': '11:00 am', 'Week': ['1', '2', '3', '4']}]</t>
  </si>
  <si>
    <t>Monday thru Friday 9:00Am to 4:30PM by appt</t>
  </si>
  <si>
    <t>[{'Day': 'monday', 'Opening_Hour': '09:00 am', 'Closing_Hour': '04:30 pm', 'Week': ['1', '2', '3', '4']}, {'Day': 'tuesday', 'Opening_Hour': '09:00 am', 'Closing_Hour': '04:30 pm', 'Week': ['1', '2', '3', '4']}, {'Day': 'wednesday', 'Opening_Hour': '09:00 am', 'Closing_Hour': '04:30 pm', 'Week': ['1', '2', '3', '4']}, {'Day': 'thursday', 'Opening_Hour': '09:00 am', 'Closing_Hour': '04:30 pm', 'Week': ['1', '2', '3', '4']}, {'Day': 'friday', 'Opening_Hour': '09:00 am', 'Closing_Hour': '04:30 pm', 'Week': ['1', '2', '3', '4']}]</t>
  </si>
  <si>
    <t>Second Monday 11:00AM till 2:00PM</t>
  </si>
  <si>
    <t>[{'Day': 'monday', 'Opening_Hour': '11:00 am', 'Closing_Hour': '02:00 pm', 'Week': ['2']}]</t>
  </si>
  <si>
    <t>2nd Monday 11:30 am - 2:00 pm &amp; the following Day Tuesday 4:00 pm - 6:00 pm</t>
  </si>
  <si>
    <t>1st &amp; 3rd Thursday/month, 12-2pm; limit one visit/month</t>
  </si>
  <si>
    <t>[{'Day': 'thursday', 'Opening_Hour': '12:00 pm', 'Closing_Hour': '02:00 pm', 'Week': ['1', '3']}]</t>
  </si>
  <si>
    <t>2nd Tuesday from 11:00AM to 3:30PM, 3rd Saturday from 10:30AM to 3:30PM drive thru until it is gone</t>
  </si>
  <si>
    <t>[{'Day': 'tuesday', 'Opening_Hour': '11:00 am', 'Closing_Hour': '03:30 pm', 'Week': ['2']}, {'Day': 'saturday', 'Opening_Hour': '10:30 am', 'Closing_Hour': '03:30 pm', 'Week': ['3']}]</t>
  </si>
  <si>
    <t>1st and 3rd Saturday from 9:00AM to 10:00AM</t>
  </si>
  <si>
    <t>[{'Day': 'saturday', 'Opening_Hour': '09:00 am', 'Closing_Hour': '10:00 am', 'Week': ['1', '3']}]</t>
  </si>
  <si>
    <t>Wednesdays 9:00am - 12:00pm</t>
  </si>
  <si>
    <t>[{'Day': 'wednesday', 'Opening_Hour': '09:00 am', 'Closing_Hour': '12:00 pm', 'Week': ['1', '2', '3', '4']}]</t>
  </si>
  <si>
    <t>Fridays 10:00am - 12:00pm</t>
  </si>
  <si>
    <t>[{'Day': 'friday', 'Opening_Hour': '10:00 am', 'Closing_Hour': '12:00 pm', 'Week': ['1', '2', '3', '4']}]</t>
  </si>
  <si>
    <t>Monday - Thursday 9:00AM to 3:00PM</t>
  </si>
  <si>
    <t>Every Thursday at 11:30, by Appointment</t>
  </si>
  <si>
    <t>Thursday's at 9:00 or by appointment</t>
  </si>
  <si>
    <t>[{'Day': 'thursday', 'Opening_Hour': '09:00 am', 'Closing_Hour': 'unknown', 'Week': ['1', '2', '3', '4']}]</t>
  </si>
  <si>
    <t>2nd and 4th Saturdays 10:00AM to 12:00PM</t>
  </si>
  <si>
    <t>[{'Day': 'saturday', 'Opening_Hour': '10:00 am', 'Closing_Hour': '12:00 pm', 'Week': ['2', '4']}]</t>
  </si>
  <si>
    <t>4th Thursday at 11-1pm</t>
  </si>
  <si>
    <t>[{'Day': 'thursday', 'Opening_Hour': '11:00 am', 'Closing_Hour': '01:00 pm', 'Week': ['4']}]</t>
  </si>
  <si>
    <t>Wednesdays 2:00pm-3:00pm</t>
  </si>
  <si>
    <t>[{'Day': 'wednesday', 'Opening_Hour': '02:00 pm', 'Closing_Hour': '03:00 pm', 'Week': ['1', '2', '3', '4']}]</t>
  </si>
  <si>
    <t>Ist Friday drive Thru Distribution from 9:00AM Until its gone, Every Tuesday and Friday 9:30AM until.</t>
  </si>
  <si>
    <t>[{'Day': 'friday', 'Opening_Hour': '09:00 am', 'Closing_Hour': 'unknown', 'Week': ['1', '2', '3', '4']}, {'Day': 'tuesday', 'Opening_Hour': '09:30 am', 'Closing_Hour': 'unknown', 'Week': ['1', '2', '3', '4']}, {'Day': 'friday', 'Opening_Hour': '09:30 am', 'Closing_Hour': 'unknown', 'Week': ['1', '2', '3', '4']}]</t>
  </si>
  <si>
    <t>Mon. and Wed. 1:00pm - 3:00pm, Tues. and Thurs. 9:30am - 11:30am</t>
  </si>
  <si>
    <t>Mon - Fri 8:00am - 9:00am</t>
  </si>
  <si>
    <t>[{'Day': 'monday', 'Opening_Hour': '08:00 am', 'Closing_Hour': '09:00 am', 'Week': ['1', '2', '3', '4']}, {'Day': 'tuesday', 'Opening_Hour': '08:00 am', 'Closing_Hour': '09:00 am', 'Week': ['1', '2', '3', '4']}, {'Day': 'wednesday', 'Opening_Hour': '08:00 am', 'Closing_Hour': '09:00 am', 'Week': ['1', '2', '3', '4']}, {'Day': 'thursday', 'Opening_Hour': '08:00 am', 'Closing_Hour': '09:00 am', 'Week': ['1', '2', '3', '4']}, {'Day': 'friday', 'Opening_Hour': '08:00 am', 'Closing_Hour': '09:00 am', 'Week': ['1', '2', '3', '4']}]</t>
  </si>
  <si>
    <t>Monday 4:00PM to 6:00PM, Wed 12:00PM to 2:00PM, Friday 12:00PM  2:00PM, 2nd Saturday of the month 10:00AM  12:00PM</t>
  </si>
  <si>
    <t>[{'Day': 'monday', 'Opening_Hour': '04:00 pm', 'Closing_Hour': '06:00 pm', 'Week': ['1', '2', '3', '4']}, {'Day': 'wednesday', 'Opening_Hour': '12:00 pm', 'Closing_Hour': '02:00 pm', 'Week': ['1', '2', '3', '4']}, {'Day': 'friday', 'Opening_Hour': '12:00 pm', 'Closing_Hour': '02:00 pm', 'Week': ['1', '2', '3', '4']}, {'Day': 'saturday', 'Opening_Hour': '10:00 am', 'Closing_Hour': '12:00 pm', 'Week': ['2']}]</t>
  </si>
  <si>
    <t>2nd Saturday 11:00am - 1:00pm</t>
  </si>
  <si>
    <t>[{'Day': 'saturday', 'Opening_Hour': '11:00 am', 'Closing_Hour': '01:00 pm', 'Week': ['2']}]</t>
  </si>
  <si>
    <t>Drive Thru 1st and 3rd Thursdays 8:00AM until its gone, 4th Wednesday 6:00PM to 7:00PM</t>
  </si>
  <si>
    <t>[{'Day': 'thursday', 'Opening_Hour': 'unknown', 'Closing_Hour': 'unknown', 'Week': ['1', '3']}, {'Day': 'wednesday', 'Opening_Hour': 'unknown', 'Closing_Hour': 'unknown', 'Week': ['4']}]</t>
  </si>
  <si>
    <t>2nd and 4th Saturday 9am-12m</t>
  </si>
  <si>
    <t>[{'Day': 'saturday', 'Opening_Hour': '09:00 am', 'Closing_Hour': '12:00 pm', 'Week': ['2', '4']}]</t>
  </si>
  <si>
    <t>1st Monday of every month at 2:00pm</t>
  </si>
  <si>
    <t>[{'Day': 'monday', 'Opening_Hour': '02:00 pm', 'Closing_Hour': 'unknown', 'Week': ['1']}]</t>
  </si>
  <si>
    <t>1st Thursday at 9:30AM until, Drive Thru</t>
  </si>
  <si>
    <t>[{'Day': 'thursday', 'Opening_Hour': '09:30 am', 'Closing_Hour': 'unknown', 'Week': ['1']}]</t>
  </si>
  <si>
    <t>1st Friday at 1pm</t>
  </si>
  <si>
    <t>3rd Monday at 12</t>
  </si>
  <si>
    <t>[{'Day': 'monday', 'Opening_Hour': '12:00 pm', 'Closing_Hour': 'unknown', 'Week': ['3']}]</t>
  </si>
  <si>
    <t>2nd Saturday of Each Month at 11am</t>
  </si>
  <si>
    <t>[{'Day': 'saturday', 'Opening_Hour': '11:00 am', 'Closing_Hour': 'unknown', 'Week': ['2']}]</t>
  </si>
  <si>
    <t>2nd and 4th Thursdays 10am-12pm</t>
  </si>
  <si>
    <t>[{'Day': 'thursday', 'Opening_Hour': '10:00 am', 'Closing_Hour': '12:00 pm', 'Week': ['2', '4']}]</t>
  </si>
  <si>
    <t>Direct Distribution 3rd Saturday of the Month from 8AM to 10AM</t>
  </si>
  <si>
    <t>[{'Day': 'saturday', 'Opening_Hour': '08:00 am', 'Closing_Hour': '10:00 am', 'Week': ['3']}]</t>
  </si>
  <si>
    <t>Open 3rd Friday of the month by appointment only</t>
  </si>
  <si>
    <t>[{'Day': 'friday', 'Opening_Hour': 'unknown', 'Closing_Hour': 'unknown', 'Week': ['3']}]</t>
  </si>
  <si>
    <t>2nd Saturday 11am - 1pm</t>
  </si>
  <si>
    <t>2nd Friday 8:15AM until</t>
  </si>
  <si>
    <t>[{'Day': 'friday', 'Opening_Hour': '08:15 am', 'Closing_Hour': 'unknown', 'Week': ['2']}]</t>
  </si>
  <si>
    <t>1st Monday, 8am-4pm</t>
  </si>
  <si>
    <t>[{'Day': 'monday', 'Opening_Hour': '08:00 am', 'Closing_Hour': '04:00 pm', 'Week': ['1']}]</t>
  </si>
  <si>
    <t>2nd Wednesday by appointment please call, 4th Wednesday 8:00AM Drive thru distribution</t>
  </si>
  <si>
    <t>[{'Day': 'wednesday', 'Opening_Hour': 'unknown', 'Closing_Hour': 'unknown', 'Week': ['2']}, {'Day': 'wednesday', 'Opening_Hour': 'unknown', 'Closing_Hour': 'unknown', 'Week': ['4']}]</t>
  </si>
  <si>
    <t>TEFAP only, 4th Thursday of the month by appt contact Melissa Black  (919)245-4354</t>
  </si>
  <si>
    <t>[{'Day': 'thursday', 'Opening_Hour': 'unknown', 'Closing_Hour': 'unknown', 'Week': ['4']}]</t>
  </si>
  <si>
    <t>2nd and 4th Tuesday's 1:00PM, and by appointment</t>
  </si>
  <si>
    <t>[{'Day': 'tuesday', 'Opening_Hour': '01:00 pm', 'Closing_Hour': 'unknown', 'Week': ['2', '4']}]</t>
  </si>
  <si>
    <t>4th Thursday Drive through distribution at 8:00AM</t>
  </si>
  <si>
    <t>[{'Day': 'thursday', 'Opening_Hour': '08:00 am', 'Closing_Hour': 'unknown', 'Week': ['4']}]</t>
  </si>
  <si>
    <t>2nd Friday 9:00AM - 12:00PM, 4th Saturday from 10:00AM - 12:00PM by appointment, call and leave a message</t>
  </si>
  <si>
    <t>[{'Day': 'friday', 'Opening_Hour': '09:00 am', 'Closing_Hour': '12:00 pm', 'Week': ['2']}, {'Day': 'saturday', 'Opening_Hour': '10:00 am', 'Closing_Hour': '12:00 pm', 'Week': ['4']}]</t>
  </si>
  <si>
    <t>3rd Thursday 9:30am - 11:00am &amp; 4th Tuesday 9:30am - 11:00am</t>
  </si>
  <si>
    <t>[{'Day': 'thursday', 'Opening_Hour': '09:30 am', 'Closing_Hour': '11:00 am', 'Week': ['3']}, {'Day': 'tuesday', 'Opening_Hour': '09:30 am', 'Closing_Hour': '11:00 am', 'Week': ['4']}]</t>
  </si>
  <si>
    <t>First Friday 10:00AM to 1:00PM, Third Saturday 12:00PM to 2:00PM</t>
  </si>
  <si>
    <t>[{'Day': 'friday', 'Opening_Hour': '10:00 am', 'Closing_Hour': '01:00 pm', 'Week': ['1', '2', '3', '4']}, {'Day': 'saturday', 'Opening_Hour': '12:00 pm', 'Closing_Hour': '02:00 pm', 'Week': ['1', '2', '3', '4']}]</t>
  </si>
  <si>
    <t>M,W 1:30PM to 5:30PM, 1st Tuesday 3:00PM to 5:30PM, 1st and 3rd Friday 12:00PM to 5:30PM, Saturdays 10:00AM to 12:00PM</t>
  </si>
  <si>
    <t>[{'Day': 'monday', 'Opening_Hour': '01:30 pm', 'Closing_Hour': '05:30 pm', 'Week': ['1', '2', '3', '4']}, {'Day': 'wednesday', 'Opening_Hour': '01:30 pm', 'Closing_Hour': '05:30 pm', 'Week': ['1', '2', '3', '4']}, {'Day': 'tuesday', 'Opening_Hour': '03:00 pm', 'Closing_Hour': '05:30 pm', 'Week': ['1']}, {'Day': 'friday', 'Opening_Hour': '12:00 pm', 'Closing_Hour': '05:30 pm', 'Week': ['1', '3']}, {'Day': 'saturday', 'Opening_Hour': '10:00 am', 'Closing_Hour': '12:00 pm', 'Week': ['1', '2', '3', '4']}]</t>
  </si>
  <si>
    <t>Distributes on 1st and 3rd Saturdays from 11 to 12PM</t>
  </si>
  <si>
    <t>['Day', 'Week', 'Opening_Hour', 'Closing_Hour', 'Week', 'Opening_Hour', 'Closing_Hour']</t>
  </si>
  <si>
    <t>1st,2nd and 4th Saturdays at 12:00PM until</t>
  </si>
  <si>
    <t>Monday and Wednesday 1:00pm - 3:00pm, Tuesday and Thursday 9:30am - 11:30am</t>
  </si>
  <si>
    <t>Fridays 10:00am - 11:30am</t>
  </si>
  <si>
    <t>[{'Day': 'friday', 'Opening_Hour': '10:00 am', 'Closing_Hour': '11:30 am', 'Week': ['1', '2', '3', '4']}]</t>
  </si>
  <si>
    <t>2nd and 4th Wed 9:30AM until it runs out</t>
  </si>
  <si>
    <t>[{'Day': 'wednesday', 'Opening_Hour': '09:30 am', 'Closing_Hour': 'unknown', 'Week': ['2', '4']}]</t>
  </si>
  <si>
    <t>1st Monday at 8:30am while supplies last</t>
  </si>
  <si>
    <t>[{'Day': 'monday', 'Opening_Hour': '08:30 am', 'Closing_Hour': 'unknown', 'Week': ['1']}]</t>
  </si>
  <si>
    <t>Friday from 1p-3p and 1st and 3rd Sunday 1:15p-3:30p; Calls for emergency</t>
  </si>
  <si>
    <t>[{'Day': 'friday', 'Opening_Hour': '01:00 pm', 'Closing_Hour': '03:00 pm', 'Week': ['1', '2', '3', '4']}, {'Day': 'sunday', 'Opening_Hour': '01:15 pm', 'Closing_Hour': '03:30 pm', 'Week': ['1', '3']}]</t>
  </si>
  <si>
    <t>4th Fridays at 9am &amp; calls for emergencies</t>
  </si>
  <si>
    <t>[{'Day': 'friday', 'Opening_Hour': '09:00 am', 'Closing_Hour': 'unknown', 'Week': ['4']}]</t>
  </si>
  <si>
    <t>Thursday and Saturday, 8am-9am</t>
  </si>
  <si>
    <t>1st, 2nd, 4th Fridays 9:00-11:30, close 5th Friday of each month and closed July and August</t>
  </si>
  <si>
    <t>2nd and 4th Tuesday from 1p-3p</t>
  </si>
  <si>
    <t>[{'Day': 'tuesday', 'Opening_Hour': '01:00 pm', 'Closing_Hour': '03:00 pm', 'Week': ['2', '4']}]</t>
  </si>
  <si>
    <t>2nd Friday and 4th Thursday 6-10am</t>
  </si>
  <si>
    <t>[{'Day': 'friday', 'Opening_Hour': '06:00 am', 'Closing_Hour': '10:00 am', 'Week': ['2']}, {'Day': 'thursday', 'Opening_Hour': '06:00 am', 'Closing_Hour': '10:00 am', 'Week': ['4']}]</t>
  </si>
  <si>
    <t>Tuesday from 10a-3:30pm &amp; emergency calls</t>
  </si>
  <si>
    <t>[{'Day': 'tuesday', 'Opening_Hour': '10:00 am', 'Closing_Hour': '03:30 pm', 'Week': ['1', '2', '3', '4']}]</t>
  </si>
  <si>
    <t>3rd Wednesday's at 8am and by emergency</t>
  </si>
  <si>
    <t>[{'Day': 'wednesday', 'Opening_Hour': 'unknown', 'Closing_Hour': 'unknown', 'Week': ['3']}]</t>
  </si>
  <si>
    <t>M W F from 4p-4:30p</t>
  </si>
  <si>
    <t>[{'Day': 'monday', 'Opening_Hour': '04:00 pm', 'Closing_Hour': '04:30 pm', 'Week': ['1', '2', '3', '4']}, {'Day': 'wednesday', 'Opening_Hour': '04:00 pm', 'Closing_Hour': '04:30 pm', 'Week': ['1', '2', '3', '4']}, {'Day': 'friday', 'Opening_Hour': '04:00 pm', 'Closing_Hour': '04:30 pm', 'Week': ['1', '2', '3', '4']}]</t>
  </si>
  <si>
    <t>Call-in Appointments; Monday through Friday from 9a-8p</t>
  </si>
  <si>
    <t>[{'Day': 'monday', 'Opening_Hour': '09:00 am', 'Closing_Hour': '08:00 pm', 'Week': ['1', '2', '3', '4']}, {'Day': 'tuesday', 'Opening_Hour': '09:00 am', 'Closing_Hour': '08:00 pm', 'Week': ['1', '2', '3', '4']}, {'Day': 'wednesday', 'Opening_Hour': '09:00 am', 'Closing_Hour': '08:00 pm', 'Week': ['1', '2', '3', '4']}, {'Day': 'thursday', 'Opening_Hour': '09:00 am', 'Closing_Hour': '08:00 pm', 'Week': ['1', '2', '3', '4']}, {'Day': 'friday', 'Opening_Hour': '09:00 am', 'Closing_Hour': '08:00 pm', 'Week': ['1', '2', '3', '4']}]</t>
  </si>
  <si>
    <t>4th Monday, Wednesday, Friday 10:00am-12:00pm</t>
  </si>
  <si>
    <t>[{'Day': 'monday', 'Opening_Hour': '10:00 am', 'Closing_Hour': '12:00 pm', 'Week': ['4']}, {'Day': 'wednesday', 'Opening_Hour': '10:00 am', 'Closing_Hour': '12:00 pm', 'Week': ['4']}, {'Day': 'friday', 'Opening_Hour': '10:00 am', 'Closing_Hour': '12:00 pm', 'Week': ['4']}]</t>
  </si>
  <si>
    <t>2nd Tuesday 8am-10am</t>
  </si>
  <si>
    <t>[{'Day': 'tuesday', 'Opening_Hour': '08:00 am', 'Closing_Hour': '10:00 am', 'Week': ['2']}]</t>
  </si>
  <si>
    <t>3rd Thursday 10a-1p</t>
  </si>
  <si>
    <t>[{'Day': 'thursday', 'Opening_Hour': '10:00 am', 'Closing_Hour': '01:00 pm', 'Week': ['3']}]</t>
  </si>
  <si>
    <t>Every Tuesday/Friday at 12:30pm</t>
  </si>
  <si>
    <t>2nd &amp; 4th Thursdays 1-2pm; TEFAP 3rd Friday 9a-11a</t>
  </si>
  <si>
    <t>[{'Day': 'thursday', 'Opening_Hour': '01:00 pm', 'Closing_Hour': '02:00 pm', 'Week': ['2', '4']}, {'Day': 'friday', 'Opening_Hour': '09:00 am', 'Closing_Hour': '11:00 am', 'Week': ['3']}]</t>
  </si>
  <si>
    <t>3rd Fri 9-11</t>
  </si>
  <si>
    <t>[{'Day': 'friday', 'Opening_Hour': '09:00 am', 'Closing_Hour': '11:00 am', 'Week': ['3']}]</t>
  </si>
  <si>
    <t>Tuesdays/Fridays 2:00pm and emergency food calls to church</t>
  </si>
  <si>
    <t>Monday - Thursday from 10 am - 3pm. By appointment only, call ahead for scheduling</t>
  </si>
  <si>
    <t>[{'Day': 'monday', 'Opening_Hour': '10:00 am', 'Closing_Hour': '03:00 pm', 'Week': ['1', '2', '3', '4']}, {'Day': 'tuesday', 'Opening_Hour': '10:00 am', 'Closing_Hour': '03:00 pm', 'Week': ['1', '2', '3', '4']}, {'Day': 'wednesday', 'Opening_Hour': '10:00 am', 'Closing_Hour': '03:00 pm', 'Week': ['1', '2', '3', '4']}, {'Day': 'thursday', 'Opening_Hour': '10:00 am', 'Closing_Hour': '03:00 pm', 'Week': ['1', '2', '3', '4']}]</t>
  </si>
  <si>
    <t>4th Friday at 9:30am and emergency calls</t>
  </si>
  <si>
    <t>1st and 3rd Thursday, 10 am- 1 pm. Drive through. Delivery available.</t>
  </si>
  <si>
    <t>Mondays &amp; Thursdays 9:30am-3:00pm</t>
  </si>
  <si>
    <t>[{'Day': 'monday', 'Opening_Hour': '09:30 am', 'Closing_Hour': '03:00 pm', 'Week': ['1', '2', '3', '4']}, {'Day': 'thursday', 'Opening_Hour': '09:30 am', 'Closing_Hour': '03:00 pm', 'Week': ['1', '2', '3', '4']}]</t>
  </si>
  <si>
    <t>Mon-Sat 9AM-12PM</t>
  </si>
  <si>
    <t>[{'Day': 'monday', 'Opening_Hour': '09:00 am', 'Closing_Hour': '12:00 pm', 'Week': ['1', '2', '3', '4']}, {'Day': 'tuesday', 'Opening_Hour': '09:00 am', 'Closing_Hour': '12:00 pm', 'Week': ['1', '2', '3', '4']}, {'Day': 'wednesday', 'Opening_Hour': '09:00 am', 'Closing_Hour': '12:00 pm', 'Week': ['1', '2', '3', '4']}, {'Day': 'thursday', 'Opening_Hour': '09:00 am', 'Closing_Hour': '12:00 pm', 'Week': ['1', '2', '3', '4']}, {'Day': 'friday', 'Opening_Hour': '09:00 am', 'Closing_Hour': '12:00 pm', 'Week': ['1', '2', '3', '4']}, {'Day': 'saturday', 'Opening_Hour': '09:00 am', 'Closing_Hour': '12:00 pm', 'Week': ['1', '2', '3', '4']}]</t>
  </si>
  <si>
    <t>1st Friday's 11am-4pm and by phone</t>
  </si>
  <si>
    <t>4th Tuesday 11am</t>
  </si>
  <si>
    <t>[{'Day': 'tuesday', 'Opening_Hour': '11:00 am', 'Closing_Hour': 'unknown', 'Week': ['4']}]</t>
  </si>
  <si>
    <t>1st Thursday &amp; 3rd Saturday (TEFAP) from 10a-12p</t>
  </si>
  <si>
    <t>[{'Day': 'thursday', 'Opening_Hour': '10:00 am', 'Closing_Hour': '12:00 pm', 'Week': ['1']}, {'Day': 'saturday', 'Opening_Hour': '10:00 am', 'Closing_Hour': '12:00 pm', 'Week': ['3']}]</t>
  </si>
  <si>
    <t>4th Sat at 8am | calls for emergency food</t>
  </si>
  <si>
    <t>[{'Day': 'saturday', 'Opening_Hour': 'unknown', 'Closing_Hour': 'unknown', 'Week': ['4']}]</t>
  </si>
  <si>
    <t>3rd Saturday 10a-12p and calls</t>
  </si>
  <si>
    <t>[{'Day': 'saturday', 'Opening_Hour': '10:00 am', 'Closing_Hour': '12:00 pm', 'Week': ['3']}]</t>
  </si>
  <si>
    <t>2nd Tuesday 12-2pm/4th Wed from 7:30a-9a (TEFAP)/Monday-Friday from 8a-5p</t>
  </si>
  <si>
    <t>[{'Day': 'tuesday', 'Opening_Hour': '12:00 pm', 'Closing_Hour': '02:00 pm', 'Week': ['2']}, {'Day': 'wednesday', 'Opening_Hour': '07:30 am', 'Closing_Hour': '09:00 am', 'Week': ['4']}, {'Day': 'monday', 'Opening_Hour': '08:00 am', 'Closing_Hour': '05:00 pm', 'Week': ['1', '2', '3', '4']}, {'Day': 'tuesday', 'Opening_Hour': '08:00 am', 'Closing_Hour': '05:00 pm', 'Week': ['1', '2', '3', '4']}, {'Day': 'wednesday', 'Opening_Hour': '08:00 am', 'Closing_Hour': '05:00 pm', 'Week': ['1', '2', '3', '4']}, {'Day': 'thursday', 'Opening_Hour': '08:00 am', 'Closing_Hour': '05:00 pm', 'Week': ['1', '2', '3', '4']}, {'Day': 'friday', 'Opening_Hour': '08:00 am', 'Closing_Hour': '05:00 pm', 'Week': ['1', '2', '3', '4']}]</t>
  </si>
  <si>
    <t>3rd Saturday 8am-9am</t>
  </si>
  <si>
    <t>[{'Day': 'saturday', 'Opening_Hour': '08:00 am', 'Closing_Hour': '09:00 am', 'Week': ['3']}]</t>
  </si>
  <si>
    <t>4th Saturday 9am-12pm</t>
  </si>
  <si>
    <t>[{'Day': 'saturday', 'Opening_Hour': '09:00 am', 'Closing_Hour': '12:00 pm', 'Week': ['4']}]</t>
  </si>
  <si>
    <t>3rd Monday at 10a-12pm</t>
  </si>
  <si>
    <t>[{'Day': 'monday', 'Opening_Hour': '10:00 am', 'Closing_Hour': '12:00 pm', 'Week': ['3']}]</t>
  </si>
  <si>
    <t>2nd and 4th Thursday from 10a-12p</t>
  </si>
  <si>
    <t>4th Tuesday at 3p</t>
  </si>
  <si>
    <t>Every Tuesday at 11:30am-12:30pm</t>
  </si>
  <si>
    <t>[{'Day': 'tuesday', 'Opening_Hour': '11:30 am', 'Closing_Hour': '12:30 pm', 'Week': ['1', '2', '3', '4']}]</t>
  </si>
  <si>
    <t>every Thursday 2p-4p</t>
  </si>
  <si>
    <t>3rd Tuesday 9am-12pm</t>
  </si>
  <si>
    <t>[{'Day': 'tuesday', 'Opening_Hour': '09:00 am', 'Closing_Hour': '12:00 pm', 'Week': ['3']}]</t>
  </si>
  <si>
    <t>By appointment only</t>
  </si>
  <si>
    <t>4th Thursday from 9a-12p (TEFAP), 4th Wednesday 9a-11a</t>
  </si>
  <si>
    <t>[{'Day': 'thursday', 'Opening_Hour': '09:00 am', 'Closing_Hour': '12:00 pm', 'Week': ['4']}, {'Day': 'wednesday', 'Opening_Hour': '09:00 am', 'Closing_Hour': '11:00 am', 'Week': ['4']}]</t>
  </si>
  <si>
    <t>1st and 3rd Sat at 10a-12p</t>
  </si>
  <si>
    <t>[{'Day': 'saturday', 'Opening_Hour': '10:00 am', 'Closing_Hour': '12:00 pm', 'Week': ['1', '3']}]</t>
  </si>
  <si>
    <t>2nd &amp; 4th Thursdays 2:00pm, Drive-thru</t>
  </si>
  <si>
    <t>[{'Day': 'thursday', 'Opening_Hour': '02:00 pm', 'Closing_Hour': 'unknown', 'Week': ['2', '4']}]</t>
  </si>
  <si>
    <t>2nd &amp; 4th Thursdays 10am-until</t>
  </si>
  <si>
    <t>[{'Day': 'thursday', 'Opening_Hour': '10:00 am', 'Closing_Hour': 'unknown', 'Week': ['2', '4']}]</t>
  </si>
  <si>
    <t>2nd/4th Saturdays 9:00am-10:00am</t>
  </si>
  <si>
    <t>Thurs 1-3</t>
  </si>
  <si>
    <t>[{'Day': 'thursday', 'Opening_Hour': '01:00 pm', 'Closing_Hour': '03:00 pm', 'Week': ['1', '2', '3', '4']}]</t>
  </si>
  <si>
    <t>every other Tues 10a.m.-12p.m. (sharp)</t>
  </si>
  <si>
    <t>3rd Monday 9-11am and by emergency</t>
  </si>
  <si>
    <t>2nd Friday and 4th Friday at 8 am and emergency calls during the week</t>
  </si>
  <si>
    <t>[{'Day': 'friday', 'Opening_Hour': '08:00 am', 'Closing_Hour': 'unknown', 'Week': ['2', '4']}]</t>
  </si>
  <si>
    <t>2/4 Saturday 9a-11a</t>
  </si>
  <si>
    <t>[{'Day': 'saturday', 'Opening_Hour': '09:00 am', 'Closing_Hour': '11:00 am', 'Week': ['2', '4']}]</t>
  </si>
  <si>
    <t>4th Friday 5p-7p</t>
  </si>
  <si>
    <t>[{'Day': 'friday', 'Opening_Hour': '05:00 pm', 'Closing_Hour': '07:00 pm', 'Week': ['4']}]</t>
  </si>
  <si>
    <t>Monday through Friday from 2:30p-5:30p</t>
  </si>
  <si>
    <t>[{'Day': 'monday', 'Opening_Hour': '02:30 pm', 'Closing_Hour': '05:30 pm', 'Week': ['1', '2', '3', '4']}, {'Day': 'tuesday', 'Opening_Hour': '02:30 pm', 'Closing_Hour': '05:30 pm', 'Week': ['1', '2', '3', '4']}, {'Day': 'wednesday', 'Opening_Hour': '02:30 pm', 'Closing_Hour': '05:30 pm', 'Week': ['1', '2', '3', '4']}, {'Day': 'thursday', 'Opening_Hour': '02:30 pm', 'Closing_Hour': '05:30 pm', 'Week': ['1', '2', '3', '4']}, {'Day': 'friday', 'Opening_Hour': '02:30 pm', 'Closing_Hour': '05:30 pm', 'Week': ['1', '2', '3', '4']}]</t>
  </si>
  <si>
    <t>3rd Saturday 8am-10am</t>
  </si>
  <si>
    <t>Mon-Thursday 12pm-1pm; Friday 8am-11am</t>
  </si>
  <si>
    <t>[{'Day': 'monday', 'Opening_Hour': '12:00 pm', 'Closing_Hour': '01:00 pm', 'Week': ['1', '2', '3', '4']}, {'Day': 'tuesday', 'Opening_Hour': '12:00 pm', 'Closing_Hour': '01:00 pm', 'Week': ['1', '2', '3', '4']}, {'Day': 'wednesday', 'Opening_Hour': '12:00 pm', 'Closing_Hour': '01:00 pm', 'Week': ['1', '2', '3', '4']}, {'Day': 'thursday', 'Opening_Hour': '12:00 pm', 'Closing_Hour': '01:00 pm', 'Week': ['1', '2', '3', '4']}, {'Day': 'friday', 'Opening_Hour': '08:00 am', 'Closing_Hour': '11:00 am', 'Week': ['1', '2', '3', '4']}]</t>
  </si>
  <si>
    <t>3rd Tuesday 10a-1p</t>
  </si>
  <si>
    <t>[{'Day': 'tuesday', 'Opening_Hour': '10:00 am', 'Closing_Hour': '01:00 pm', 'Week': ['3']}]</t>
  </si>
  <si>
    <t>Mon-Tues 11:30am-12:15pm, Thurs 10a-12p &amp; 1p-4p, Fri 11:30am-12:15pm &amp; Sat. 9am-11am</t>
  </si>
  <si>
    <t>[{'Day': 'monday', 'Opening_Hour': '11:30 am', 'Closing_Hour': '12:15 pm', 'Week': ['1', '2', '3', '4']}, {'Day': 'tuesday', 'Opening_Hour': '11:30 am', 'Closing_Hour': '12:15 pm', 'Week': ['1', '2', '3', '4']}, {'Day': 'thursday', 'Opening_Hour': '10:00 am', 'Closing_Hour': '12:00 pm', 'Week': ['1', '2', '3', '4']}, {'Day': 'friday', 'Opening_Hour': '11:30 am', 'Closing_Hour': '12:15 pm', 'Week': ['1', '2', '3', '4']}, {'Day': 'saturday', 'Opening_Hour': '09:00 am', 'Closing_Hour': '11:00 am', 'Week': ['1', '2', '3', '4']}]</t>
  </si>
  <si>
    <t>2nd &amp; 4th Tuesdays 1:00pm-2:00pm, Drive-thru</t>
  </si>
  <si>
    <t>[{'Day': 'tuesday', 'Opening_Hour': '01:00 pm', 'Closing_Hour': '02:00 pm', 'Week': ['2', '4']}]</t>
  </si>
  <si>
    <t>3rd Sat. 8am-10am</t>
  </si>
  <si>
    <t>Wednesday after the 2nd Tuesday 9am-12pm and by emergency</t>
  </si>
  <si>
    <t>[{'Day': 'wednesday', 'Opening_Hour': '09:00 am', 'Closing_Hour': '12:00 pm', 'Week': ['2']}]</t>
  </si>
  <si>
    <t>Monday - Thursday from 1pm-2pm.</t>
  </si>
  <si>
    <t>7 days/week and 24 hours per day</t>
  </si>
  <si>
    <t>1st/3rd Tuesday from 2p-4p and calls</t>
  </si>
  <si>
    <t>M, W, F 9-11:30 curbside only</t>
  </si>
  <si>
    <t>[{'Day': 'monday', 'Opening_Hour': '09:00 am', 'Closing_Hour': '11:30 am', 'Week': ['1', '2', '3', '4']}, {'Day': 'wednesday', 'Opening_Hour': '09:00 am', 'Closing_Hour': '11:30 am', 'Week': ['1', '2', '3', '4']}, {'Day': 'friday', 'Opening_Hour': '09:00 am', 'Closing_Hour': '11:30 am', 'Week': ['1', '2', '3', '4']}]</t>
  </si>
  <si>
    <t>Every 3rd Thursday at 9a-11:30a</t>
  </si>
  <si>
    <t>[{'Day': 'thursday', 'Opening_Hour': '09:00 am', 'Closing_Hour': '11:30 am', 'Week': ['3']}]</t>
  </si>
  <si>
    <t>24 hrs</t>
  </si>
  <si>
    <t>Fridays 1pm-6pm (Except 5th Fridays)</t>
  </si>
  <si>
    <t>[{'Day': 'friday', 'Opening_Hour': '01:00 pm', 'Closing_Hour': '06:00 pm', 'Week': ['1', '2', '3', '4']}]</t>
  </si>
  <si>
    <t>Wednesdays from 10-11am</t>
  </si>
  <si>
    <t>Sundays from 1:30-3p</t>
  </si>
  <si>
    <t>[{'Day': 'sunday', 'Opening_Hour': '01:30 pm', 'Closing_Hour': '03:00 pm', 'Week': ['1', '2', '3', '4']}]</t>
  </si>
  <si>
    <t>4th Tuesday, 10 am- 12 pm, Monday after 4th Tuesday at 10am</t>
  </si>
  <si>
    <t>Every Wednesday 10a-12p</t>
  </si>
  <si>
    <t>[{'Day': 'wednesday', 'Opening_Hour': '10:00 am', 'Closing_Hour': '12:00 pm', 'Week': ['1', '2', '3', '4']}]</t>
  </si>
  <si>
    <t>Monday, Wednesday 1-3pm; Wednesday evenings 5-6pm</t>
  </si>
  <si>
    <t>[{'Day': 'monday', 'Opening_Hour': '01:00 pm', 'Closing_Hour': '03:00 pm', 'Week': ['1', '2', '3', '4']}, {'Day': 'wednesday', 'Opening_Hour': '01:00 pm', 'Closing_Hour': '03:00 pm', 'Week': ['1', '2', '3', '4']}, {'Day': 'wednesday', 'Opening_Hour': '05:00 pm', 'Closing_Hour': '06:00 pm', 'Week': ['1', '2', '3', '4']}]</t>
  </si>
  <si>
    <t>every other Thursday 3:30pm</t>
  </si>
  <si>
    <t>[{'Day': 'thursday', 'Opening_Hour': '03:30 pm', 'Closing_Hour': 'unknown', 'Week': ['1', '2', '3', '4']}]</t>
  </si>
  <si>
    <t>every other Saturday 11:00am-12:00pm</t>
  </si>
  <si>
    <t>[{'Day': 'saturday', 'Opening_Hour': '11:00 am', 'Closing_Hour': '12:00 pm', 'Week': ['1', '2', '3', '4']}]</t>
  </si>
  <si>
    <t>Every Tuesday 4-6pm</t>
  </si>
  <si>
    <t>[{'Day': 'tuesday', 'Opening_Hour': '04:00 pm', 'Closing_Hour': '06:00 pm', 'Week': ['1', '2', '3', '4']}]</t>
  </si>
  <si>
    <t>Thursdays 12pm-2pm</t>
  </si>
  <si>
    <t>1st Wed/3rd Sat 10:00am-11:15am</t>
  </si>
  <si>
    <t>[{'Day': 'wednesday', 'Opening_Hour': '10:00 am', 'Closing_Hour': '11:15 am', 'Week': ['1']}, {'Day': 'saturday', 'Opening_Hour': '10:00 am', 'Closing_Hour': '11:15 am', 'Week': ['3']}]</t>
  </si>
  <si>
    <t>2nd Tuesday 3pm-6:30pm 4th Saturday 10am-2pm</t>
  </si>
  <si>
    <t>[{'Day': 'tuesday', 'Opening_Hour': '03:00 pm', 'Closing_Hour': '06:30 pm', 'Week': ['2']}, {'Day': 'saturday', 'Opening_Hour': '10:00 am', 'Closing_Hour': '02:00 pm', 'Week': ['4']}]</t>
  </si>
  <si>
    <t>1st Saturday, 3rd Wednesday 10AM-12PM</t>
  </si>
  <si>
    <t>[{'Day': 'saturday', 'Opening_Hour': '10:00 am', 'Closing_Hour': '12:00 pm', 'Week': ['1']}, {'Day': 'wednesday', 'Opening_Hour': '10:00 am', 'Closing_Hour': '12:00 pm', 'Week': ['3']}]</t>
  </si>
  <si>
    <t>1st/3rd Tuesdays 12pm-2pm</t>
  </si>
  <si>
    <t>[{'Day': 'tuesday', 'Opening_Hour': '12:00 pm', 'Closing_Hour': '02:00 pm', 'Week': ['1', '3']}]</t>
  </si>
  <si>
    <t>2nd Monday at 8am; 4th Monday at 11am</t>
  </si>
  <si>
    <t>[{'Day': 'monday', 'Opening_Hour': '08:00 am', 'Closing_Hour': 'unknown', 'Week': ['2', '4']}]</t>
  </si>
  <si>
    <t>3rd Saturdays 12pm-2pm</t>
  </si>
  <si>
    <t>[{'Day': 'saturday', 'Opening_Hour': '12:00 pm', 'Closing_Hour': '02:00 pm', 'Week': ['3']}]</t>
  </si>
  <si>
    <t>Deliveries to senior center on Thursdays, weekly MOW grocery delivery</t>
  </si>
  <si>
    <t>3rd&amp;1st Friday at 1pm. Pantry is open for walkins on Tuesday 10-12, 2nd and 4th Sat 10-12</t>
  </si>
  <si>
    <t>2nd Tuesday 11am</t>
  </si>
  <si>
    <t>[{'Day': 'tuesday', 'Opening_Hour': '11:00 am', 'Closing_Hour': 'unknown', 'Week': ['2']}]</t>
  </si>
  <si>
    <t>1st &amp; 3rd Wednesday @ 12pm</t>
  </si>
  <si>
    <t>[{'Day': 'wednesday', 'Opening_Hour': '12:00 pm', 'Closing_Hour': 'unknown', 'Week': ['1', '3']}]</t>
  </si>
  <si>
    <t>Food distribution is held on the 1st and 3rd Thursday of each month, beginning at 9 AM, and continues until supplies run out.</t>
  </si>
  <si>
    <t>Food distribution is held on the 4th Tuesday of each month, beginning at 10:30 AM, and continues until supplies run out.</t>
  </si>
  <si>
    <t>[{'Day': 'tuesday', 'Opening_Hour': '10:30 am', 'Closing_Hour': 'unknown', 'Week': ['4']}]</t>
  </si>
  <si>
    <t>Food distribution is held on the 4th Tuesday of each month, beginning at 1:00 PM, and continues until supplies run out.</t>
  </si>
  <si>
    <t>[{'Day': 'tuesday', 'Opening_Hour': '01:00 pm', 'Closing_Hour': 'unknown', 'Week': ['4']}]</t>
  </si>
  <si>
    <t>2nd Wednesday from 3pm-6pm/Emergency as needed 252-514-1567</t>
  </si>
  <si>
    <t>[{'Day': 'wednesday', 'Opening_Hour': '03:00 pm', 'Closing_Hour': '06:00 pm', 'Week': ['2']}]</t>
  </si>
  <si>
    <t>1st and 3rd Saturday at 9am</t>
  </si>
  <si>
    <t>[{'Day': 'saturday', 'Opening_Hour': '09:00 am', 'Closing_Hour': 'unknown', 'Week': ['1', '3']}]</t>
  </si>
  <si>
    <t>Monday 10am-2pm</t>
  </si>
  <si>
    <t>4th Thursday at 1pm</t>
  </si>
  <si>
    <t>[{'Day': 'thursday', 'Opening_Hour': '01:00 pm', 'Closing_Hour': 'unknown', 'Week': ['4']}]</t>
  </si>
  <si>
    <t>3rd Monday, 10AM</t>
  </si>
  <si>
    <t>[{'Day': 'monday', 'Opening_Hour': '10:00 am', 'Closing_Hour': 'unknown', 'Week': ['3']}]</t>
  </si>
  <si>
    <t>Monday &amp; Wednesday (Weekly) 10AM-11AM</t>
  </si>
  <si>
    <t>Second and Fourth Thursdays of the month from 10-12 noon</t>
  </si>
  <si>
    <t>Monday, Tues, Wed, and Friday from 10a-12p and 1p-2p</t>
  </si>
  <si>
    <t>[{'Day': 'monday', 'Opening_Hour': '10:00 am', 'Closing_Hour': '12:00 pm', 'Week': ['1', '2', '3', '4']}, {'Day': 'tuesday', 'Opening_Hour': '10:00 am', 'Closing_Hour': '12:00 pm', 'Week': ['1', '2', '3', '4']}, {'Day': 'wednesday', 'Opening_Hour': '10:00 am', 'Closing_Hour': '12:00 pm', 'Week': ['1', '2', '3', '4']}, {'Day': 'friday', 'Opening_Hour': '10:00 am', 'Closing_Hour': '12:00 pm', 'Week': ['1', '2', '3', '4']}]</t>
  </si>
  <si>
    <t>Thursday 9-11</t>
  </si>
  <si>
    <t>[{'Day': 'thursday', 'Opening_Hour': '09:00 am', 'Closing_Hour': '11:00 am', 'Week': ['1', '2', '3', '4']}]</t>
  </si>
  <si>
    <t>Tuesday &amp; Saturday 9AM-1PM</t>
  </si>
  <si>
    <t>[{'Day': 'tuesday', 'Opening_Hour': '09:00 am', 'Closing_Hour': '01:00 pm', 'Week': ['1', '2', '3', '4']}, {'Day': 'saturday', 'Opening_Hour': '09:00 am', 'Closing_Hour': '01:00 pm', 'Week': ['1', '2', '3', '4']}]</t>
  </si>
  <si>
    <t>2nd and 4th Saturday of each month  10:00 am - 12:00 pm</t>
  </si>
  <si>
    <t>1st Tuesday 10AM -12PM</t>
  </si>
  <si>
    <t>[{'Day': 'tuesday', 'Opening_Hour': '10:00 am', 'Closing_Hour': '12:00 pm', 'Week': ['1']}]</t>
  </si>
  <si>
    <t>Tuesday, Thursday &amp; Friday 12PM-4PM &amp; Saturday 10AM-2PM</t>
  </si>
  <si>
    <t>[{'Day': 'tuesday', 'Opening_Hour': '12:00 pm', 'Closing_Hour': '04:00 pm', 'Week': ['1', '2', '3', '4']}, {'Day': 'thursday', 'Opening_Hour': '12:00 pm', 'Closing_Hour': '04:00 pm', 'Week': ['1', '2', '3', '4']}, {'Day': 'friday', 'Opening_Hour': '12:00 pm', 'Closing_Hour': '04:00 pm', 'Week': ['1', '2', '3', '4']}, {'Day': 'saturday', 'Opening_Hour': '10:00 am', 'Closing_Hour': '02:00 pm', 'Week': ['1', '2', '3', '4']}]</t>
  </si>
  <si>
    <t>1st Friday at 10AM</t>
  </si>
  <si>
    <t>[{'Day': 'friday', 'Opening_Hour': '10:00 am', 'Closing_Hour': 'unknown', 'Week': ['1']}]</t>
  </si>
  <si>
    <t>M, W, F 10:30a-3:00p</t>
  </si>
  <si>
    <t>[{'Day': 'monday', 'Opening_Hour': '10:30 am', 'Closing_Hour': '03:00 pm', 'Week': ['1', '2', '3', '4']}, {'Day': 'wednesday', 'Opening_Hour': '10:30 am', 'Closing_Hour': '03:00 pm', 'Week': ['1', '2', '3', '4']}, {'Day': 'friday', 'Opening_Hour': '10:30 am', 'Closing_Hour': '03:00 pm', 'Week': ['1', '2', '3', '4']}]</t>
  </si>
  <si>
    <t>3rd Monday at 9AM</t>
  </si>
  <si>
    <t>[{'Day': 'monday', 'Opening_Hour': '09:00 am', 'Closing_Hour': 'unknown', 'Week': ['3']}]</t>
  </si>
  <si>
    <t>Monday-Sunday 10AM-7PM</t>
  </si>
  <si>
    <t>[{'Day': 'monday', 'Opening_Hour': '10:00 am', 'Closing_Hour': '07:00 pm', 'Week': ['1', '2', '3', '4']}, {'Day': 'tuesday', 'Opening_Hour': '10:00 am', 'Closing_Hour': '07:00 pm', 'Week': ['1', '2', '3', '4']}, {'Day': 'wednesday', 'Opening_Hour': '10:00 am', 'Closing_Hour': '07:00 pm', 'Week': ['1', '2', '3', '4']}, {'Day': 'thursday', 'Opening_Hour': '10:00 am', 'Closing_Hour': '07:00 pm', 'Week': ['1', '2', '3', '4']}, {'Day': 'friday', 'Opening_Hour': '10:00 am', 'Closing_Hour': '07:00 pm', 'Week': ['1', '2', '3', '4']}, {'Day': 'saturday', 'Opening_Hour': '10:00 am', 'Closing_Hour': '07:00 pm', 'Week': ['1', '2', '3', '4']}, {'Day': 'sunday', 'Opening_Hour': '10:00 am', 'Closing_Hour': '07:00 pm', 'Week': ['1', '2', '3', '4']}]</t>
  </si>
  <si>
    <t>M-F, 8am-3pm. Students/families of NBHS ONLY</t>
  </si>
  <si>
    <t>[{'Day': 'monday', 'Opening_Hour': '08:00 am', 'Closing_Hour': '03:00 pm', 'Week': ['1', '2', '3', '4']}, {'Day': 'tuesday', 'Opening_Hour': '08:00 am', 'Closing_Hour': '03:00 pm', 'Week': ['1', '2', '3', '4']}, {'Day': 'wednesday', 'Opening_Hour': '08:00 am', 'Closing_Hour': '03:00 pm', 'Week': ['1', '2', '3', '4']}, {'Day': 'thursday', 'Opening_Hour': '08:00 am', 'Closing_Hour': '03:00 pm', 'Week': ['1', '2', '3', '4']}, {'Day': 'friday', 'Opening_Hour': '08:00 am', 'Closing_Hour': '03:00 pm', 'Week': ['1', '2', '3', '4']}]</t>
  </si>
  <si>
    <t>Every 2nd Thursday at 9am</t>
  </si>
  <si>
    <t>[{'Day': 'thursday', 'Opening_Hour': '09:00 am', 'Closing_Hour': 'unknown', 'Week': ['2']}]</t>
  </si>
  <si>
    <t>Thursday (weekly) - Lines begins around 7AM, distribution begins aat 9:30AM/10AM</t>
  </si>
  <si>
    <t>[{'Day': 'thursday', 'Opening_Hour': '07:00 am', 'Closing_Hour': 'unknown', 'Week': ['1', '2', '3', '4']}]</t>
  </si>
  <si>
    <t>2nd &amp; 4th Monday - Line begins around 7AM, distribution starts 9:30AM/10AM (Drive-Up)</t>
  </si>
  <si>
    <t>[{'Day': 'monday', 'Opening_Hour': '07:00 am', 'Closing_Hour': 'unknown', 'Week': ['2', '4']}]</t>
  </si>
  <si>
    <t>Shelter intake by appointment only. Call 910-238-4025</t>
  </si>
  <si>
    <t>M-F 11am-12pm</t>
  </si>
  <si>
    <t>[{'Day': 'monday', 'Opening_Hour': '11:00 am', 'Closing_Hour': '12:00 pm', 'Week': ['1', '2', '3', '4']}, {'Day': 'tuesday', 'Opening_Hour': '11:00 am', 'Closing_Hour': '12:00 pm', 'Week': ['1', '2', '3', '4']}, {'Day': 'wednesday', 'Opening_Hour': '11:00 am', 'Closing_Hour': '12:00 pm', 'Week': ['1', '2', '3', '4']}, {'Day': 'thursday', 'Opening_Hour': '11:00 am', 'Closing_Hour': '12:00 pm', 'Week': ['1', '2', '3', '4']}, {'Day': 'friday', 'Opening_Hour': '11:00 am', 'Closing_Hour': '12:00 pm', 'Week': ['1', '2', '3', '4']}]</t>
  </si>
  <si>
    <t>Thursday 9-12, second Friday 9-12 (TEFAP)</t>
  </si>
  <si>
    <t>Every 2nd Friday at 9a</t>
  </si>
  <si>
    <t>1st Friday 5:30pm-7pm | 1st, 2nd &amp; 3rd Tuesday and Thursday 11am-1pm</t>
  </si>
  <si>
    <t>1st Wednesday at 9:30AM</t>
  </si>
  <si>
    <t>[{'Day': 'wednesday', 'Opening_Hour': '09:30 am', 'Closing_Hour': 'unknown', 'Week': ['1']}]</t>
  </si>
  <si>
    <t>2nd Wed 10-12</t>
  </si>
  <si>
    <t>[{'Day': 'wednesday', 'Opening_Hour': '10:00 am', 'Closing_Hour': '12:00 pm', 'Week': ['2']}]</t>
  </si>
  <si>
    <t>Monday to Friday 9AM-4PM - By appointment for Clients served within the last 3 months - walk-ins available for new clients or those not served within the last 3 months</t>
  </si>
  <si>
    <t>[{'Day': 'monday', 'Opening_Hour': '09:00 am', 'Closing_Hour': '04:00 pm', 'Week': ['1', '2', '3', '4']}, {'Day': 'tuesday', 'Opening_Hour': '09:00 am', 'Closing_Hour': '04:00 pm', 'Week': ['1', '2', '3', '4']}, {'Day': 'wednesday', 'Opening_Hour': '09:00 am', 'Closing_Hour': '04:00 pm', 'Week': ['1', '2', '3', '4']}, {'Day': 'thursday', 'Opening_Hour': '09:00 am', 'Closing_Hour': '04:00 pm', 'Week': ['1', '2', '3', '4']}, {'Day': 'friday', 'Opening_Hour': '09:00 am', 'Closing_Hour': '04:00 pm', 'Week': ['1', '2', '3', '4']}]</t>
  </si>
  <si>
    <t>1st Wednesday 5:30pm-7:30pm</t>
  </si>
  <si>
    <t>[{'Day': 'wednesday', 'Opening_Hour': '05:30 pm', 'Closing_Hour': '07:30 pm', 'Week': ['1']}]</t>
  </si>
  <si>
    <t>3rd Wednesday 5:30pm-7:30pm</t>
  </si>
  <si>
    <t>[{'Day': 'wednesday', 'Opening_Hour': '05:30 pm', 'Closing_Hour': '07:30 pm', 'Week': ['3']}]</t>
  </si>
  <si>
    <t>M-Sun 3pm-7am</t>
  </si>
  <si>
    <t>[{'Day': 'monday', 'Opening_Hour': '03:00 pm', 'Closing_Hour': '07:00 am', 'Week': ['1', '2', '3', '4']}, {'Day': 'tuesday', 'Opening_Hour': '03:00 pm', 'Closing_Hour': '07:00 am', 'Week': ['1', '2', '3', '4']}, {'Day': 'wednesday', 'Opening_Hour': '03:00 pm', 'Closing_Hour': '07:00 am', 'Week': ['1', '2', '3', '4']}, {'Day': 'thursday', 'Opening_Hour': '03:00 pm', 'Closing_Hour': '07:00 am', 'Week': ['1', '2', '3', '4']}, {'Day': 'friday', 'Opening_Hour': '03:00 pm', 'Closing_Hour': '07:00 am', 'Week': ['1', '2', '3', '4']}, {'Day': 'saturday', 'Opening_Hour': '03:00 pm', 'Closing_Hour': '07:00 am', 'Week': ['1', '2', '3', '4']}, {'Day': 'sunday', 'Opening_Hour': '03:00 pm', 'Closing_Hour': '07:00 am', 'Week': ['1', '2', '3', '4']}]</t>
  </si>
  <si>
    <t>Lunch served Mondays to Saturdays from 10:30AM to 11:45AM | Breakfast served Sundays at 9AM</t>
  </si>
  <si>
    <t>[{'Day': 'monday', 'Opening_Hour': '10:30 am', 'Closing_Hour': '11:45 am', 'Week': ['1', '2', '3', '4']}, {'Day': 'tuesday', 'Opening_Hour': '10:30 am', 'Closing_Hour': '11:45 am', 'Week': ['1', '2', '3', '4']}, {'Day': 'wednesday', 'Opening_Hour': '10:30 am', 'Closing_Hour': '11:45 am', 'Week': ['1', '2', '3', '4']}, {'Day': 'thursday', 'Opening_Hour': '10:30 am', 'Closing_Hour': '11:45 am', 'Week': ['1', '2', '3', '4']}, {'Day': 'friday', 'Opening_Hour': '10:30 am', 'Closing_Hour': '11:45 am', 'Week': ['1', '2', '3', '4']}, {'Day': 'saturday', 'Opening_Hour': '10:30 am', 'Closing_Hour': '11:45 am', 'Week': ['1', '2', '3', '4']}, {'Day': 'sunday', 'Opening_Hour': '09:00 am', 'Closing_Hour': '10:30 am', 'Week': ['1', '2', '3', '4']}]</t>
  </si>
  <si>
    <t>M, T, Th, F 10a-2p; Sat 9a-3p</t>
  </si>
  <si>
    <t>[{'Day': 'monday', 'Opening_Hour': '10:00 am', 'Closing_Hour': '02:00 pm', 'Week': ['1', '2', '3', '4']}, {'Day': 'tuesday', 'Opening_Hour': '10:00 am', 'Closing_Hour': '02:00 pm', 'Week': ['1', '2', '3', '4']}, {'Day': 'thursday', 'Opening_Hour': '10:00 am', 'Closing_Hour': '02:00 pm', 'Week': ['1', '2', '3', '4']}, {'Day': 'friday', 'Opening_Hour': '10:00 am', 'Closing_Hour': '02:00 pm', 'Week': ['1', '2', '3', '4']}, {'Day': 'saturday', 'Opening_Hour': '09:00 am', 'Closing_Hour': '03:00 pm', 'Week': ['1', '2', '3', '4']}]</t>
  </si>
  <si>
    <t>Every 1st Monday at 11a</t>
  </si>
  <si>
    <t>[{'Day': 'monday', 'Opening_Hour': '11:00 am', 'Closing_Hour': 'unknown', 'Week': ['1']}]</t>
  </si>
  <si>
    <t>Monday through Friday from 9a-5p</t>
  </si>
  <si>
    <t>Monday - Friday 1PM to 3PM</t>
  </si>
  <si>
    <t>4th Wednesday at 9am, distribution after</t>
  </si>
  <si>
    <t>[{'Day': 'wednesday', 'Opening_Hour': '09:00 am', 'Closing_Hour': 'unknown', 'Week': ['4']}]</t>
  </si>
  <si>
    <t>2nd Tuesday at 10AM</t>
  </si>
  <si>
    <t>3rd Monday at 9am</t>
  </si>
  <si>
    <t>Tuesday &amp; Wednesday 1PM to 3pm - First come first serve - valid ID required.</t>
  </si>
  <si>
    <t>[{'Day': 'tuesday', 'Opening_Hour': '01:00 pm', 'Closing_Hour': '03:00 pm', 'Week': ['1', '2', '3', '4']}, {'Day': 'wednesday', 'Opening_Hour': '01:00 pm', 'Closing_Hour': '03:00 pm', 'Week': ['1', '2', '3', '4']}]</t>
  </si>
  <si>
    <t>Monday and Thursday from 9-11, 1007 Orange St, Newport</t>
  </si>
  <si>
    <t>[{'Day': 'monday', 'Opening_Hour': '09:00 am', 'Closing_Hour': '11:00 am', 'Week': ['1', '2', '3', '4']}, {'Day': 'thursday', 'Opening_Hour': '09:00 am', 'Closing_Hour': '11:00 am', 'Week': ['1', '2', '3', '4']}]</t>
  </si>
  <si>
    <t>3rd Friday at 1PM</t>
  </si>
  <si>
    <t>[{'Day': 'friday', 'Opening_Hour': '01:00 pm', 'Closing_Hour': 'unknown', 'Week': ['3']}]</t>
  </si>
  <si>
    <t>Monday 2pm</t>
  </si>
  <si>
    <t>2nd &amp; 4th Friday Registration 5PM-6PM Food Distribution at 7PM</t>
  </si>
  <si>
    <t>[{'Day': 'friday', 'Opening_Hour': '05:00 pm', 'Closing_Hour': '06:00 pm', 'Week': ['2', '4']}, {'Day': 'friday', 'Opening_Hour': '07:00 pm', 'Closing_Hour': 'unknown', 'Week': ['2', '4']}]</t>
  </si>
  <si>
    <t>Monday, Tuesday &amp; Wednesday 10AM-1PM - Other days by appointment, Call 252-725-5539</t>
  </si>
  <si>
    <t>[{'Day': 'monday', 'Opening_Hour': '10:00 am', 'Closing_Hour': '01:00 pm', 'Week': ['1', '2', '3', '4']}, {'Day': 'tuesday', 'Opening_Hour': '10:00 am', 'Closing_Hour': '01:00 pm', 'Week': ['1', '2', '3', '4']}, {'Day': 'wednesday', 'Opening_Hour': '10:00 am', 'Closing_Hour': '01:00 pm', 'Week': ['1', '2', '3', '4']}]</t>
  </si>
  <si>
    <t>Every Monday, Wednesday &amp; Friday from 8-12:30</t>
  </si>
  <si>
    <t>[{'Day': 'monday', 'Opening_Hour': '08:00 am', 'Closing_Hour': '12:30 pm', 'Week': ['1', '2', '3', '4']}, {'Day': 'wednesday', 'Opening_Hour': '08:00 am', 'Closing_Hour': '12:30 pm', 'Week': ['1', '2', '3', '4']}, {'Day': 'friday', 'Opening_Hour': '08:00 am', 'Closing_Hour': '12:30 pm', 'Week': ['1', '2', '3', '4']}]</t>
  </si>
  <si>
    <t>Thursday 8:30AM to 9:30AM</t>
  </si>
  <si>
    <t>[{'Day': 'thursday', 'Opening_Hour': '08:30 am', 'Closing_Hour': '09:30 am', 'Week': ['1', '2', '3', '4']}]</t>
  </si>
  <si>
    <t>Tuesdays and Thursdays, 9am-1pm</t>
  </si>
  <si>
    <t>[{'Day': 'tuesday', 'Opening_Hour': '09:00 am', 'Closing_Hour': '01:00 pm', 'Week': ['1', '2', '3', '4']}, {'Day': 'thursday', 'Opening_Hour': '09:00 am', 'Closing_Hour': '01:00 pm', 'Week': ['1', '2', '3', '4']}]</t>
  </si>
  <si>
    <t>Wednesday at 4PM  Drive-Thru</t>
  </si>
  <si>
    <t>[{'Day': 'wednesday', 'Opening_Hour': '04:00 pm', 'Closing_Hour': 'unknown', 'Week': ['1', '2', '3', '4']}]</t>
  </si>
  <si>
    <t>Free hot meals served Thursday weekly 11:30am-1pm</t>
  </si>
  <si>
    <t>1st &amp; 3rd Tuesday 6pm-7pm, Saturdays for Emergency call ins</t>
  </si>
  <si>
    <t>[{'Day': 'tuesday', 'Opening_Hour': '06:00 pm', 'Closing_Hour': '07:00 pm', 'Week': ['1', '3']}, {'Day': 'saturday', 'Opening_Hour': 'unknown', 'Closing_Hour': 'unknown', 'Week': ['1', '2', '3', '4']}]</t>
  </si>
  <si>
    <t>Monday Wednesday Friday 9am-12pm</t>
  </si>
  <si>
    <t>[{'Day': 'monday', 'Opening_Hour': '09:00 am', 'Closing_Hour': '12:00 pm', 'Week': ['1', '2', '3', '4']}, {'Day': 'wednesday', 'Opening_Hour': '09:00 am', 'Closing_Hour': '12:00 pm', 'Week': ['1', '2', '3', '4']}, {'Day': 'friday', 'Opening_Hour': '09:00 am', 'Closing_Hour': '12:00 pm', 'Week': ['1', '2', '3', '4']}]</t>
  </si>
  <si>
    <t>2nd Saturday 7:30am-9:30am and by emergency</t>
  </si>
  <si>
    <t>[{'Day': 'saturday', 'Opening_Hour': '07:30 am', 'Closing_Hour': '09:30 am', 'Week': ['2']}]</t>
  </si>
  <si>
    <t>TWTh by appointment, Fridays Walk-ins accepted 10:00 am - 12:00 pm</t>
  </si>
  <si>
    <t>Every Saturday all day by appointment</t>
  </si>
  <si>
    <t>Tues &amp; Thurs 10:30-11:30</t>
  </si>
  <si>
    <t>[{'Day': 'tuesday', 'Opening_Hour': '10:30 am', 'Closing_Hour': '11:30 am', 'Week': ['1', '2', '3', '4']}, {'Day': 'thursday', 'Opening_Hour': '10:30 am', 'Closing_Hour': '11:30 am', 'Week': ['1', '2', '3', '4']}]</t>
  </si>
  <si>
    <t>Every Monday Wednesday 11am-11:45am</t>
  </si>
  <si>
    <t>Tues &amp; Thur 10am-2pm</t>
  </si>
  <si>
    <t>[{'Day': 'tuesday', 'Opening_Hour': '10:00 am', 'Closing_Hour': '02:00 pm', 'Week': ['1', '2', '3', '4']}, {'Day': 'thursday', 'Opening_Hour': '10:00 am', 'Closing_Hour': '02:00 pm', 'Week': ['1', '2', '3', '4']}]</t>
  </si>
  <si>
    <t>2nd &amp; 4th Saturday 10:00 am - 11:00 am</t>
  </si>
  <si>
    <t>1st &amp; 3rd Wed 9-11</t>
  </si>
  <si>
    <t>[{'Day': 'wednesday', 'Opening_Hour': '09:00 am', 'Closing_Hour': '11:00 am', 'Week': ['1', '3']}]</t>
  </si>
  <si>
    <t>Tues &amp; Thurs 11:00 am - 2:00 pm</t>
  </si>
  <si>
    <t>[{'Day': 'tuesday', 'Opening_Hour': '11:00 am', 'Closing_Hour': '02:00 pm', 'Week': ['1', '2', '3', '4']}, {'Day': 'thursday', 'Opening_Hour': '11:00 am', 'Closing_Hour': '02:00 pm', 'Week': ['1', '2', '3', '4']}]</t>
  </si>
  <si>
    <t>Sundays and 4th Tuesdays 8:30-11am</t>
  </si>
  <si>
    <t>[{'Day': 'sunday', 'Opening_Hour': '08:30 am', 'Closing_Hour': '11:00 am', 'Week': ['1', '2', '3', '4']}, {'Day': 'tuesday', 'Opening_Hour': '08:30 am', 'Closing_Hour': '11:00 am', 'Week': ['4']}]</t>
  </si>
  <si>
    <t>M-F/11a-12:30p</t>
  </si>
  <si>
    <t>[{'Day': 'monday', 'Opening_Hour': '11:00 am', 'Closing_Hour': '12:30 pm', 'Week': ['1', '2', '3', '4']}, {'Day': 'tuesday', 'Opening_Hour': '11:00 am', 'Closing_Hour': '12:30 pm', 'Week': ['1', '2', '3', '4']}, {'Day': 'wednesday', 'Opening_Hour': '11:00 am', 'Closing_Hour': '12:30 pm', 'Week': ['1', '2', '3', '4']}, {'Day': 'thursday', 'Opening_Hour': '11:00 am', 'Closing_Hour': '12:30 pm', 'Week': ['1', '2', '3', '4']}, {'Day': 'friday', 'Opening_Hour': '11:00 am', 'Closing_Hour': '12:30 pm', 'Week': ['1', '2', '3', '4']}]</t>
  </si>
  <si>
    <t>Thurs 12-4, Emergency Tues 10-12, Sat 11-12</t>
  </si>
  <si>
    <t>[{'Day': 'thursday', 'Opening_Hour': '12:00 pm', 'Closing_Hour': '04:00 pm', 'Week': ['1', '2', '3', '4']}, {'Day': 'tuesday', 'Opening_Hour': '10:00 am', 'Closing_Hour': '12:00 pm', 'Week': ['1', '2', '3', '4']}, {'Day': 'saturday', 'Opening_Hour': '11:00 am', 'Closing_Hour': '12:00 pm', 'Week': ['1', '2', '3', '4']}]</t>
  </si>
  <si>
    <t>Every Monday 5:00-6:30pm</t>
  </si>
  <si>
    <t>2nd Friday 10:30am-12pm and by emergency</t>
  </si>
  <si>
    <t>T, TH 9-12</t>
  </si>
  <si>
    <t>Wed 8:30-12; Emergency, call 919-496-5721 for appt.8-5</t>
  </si>
  <si>
    <t>[{'Day': 'wednesday', 'Opening_Hour': '08:30 am', 'Closing_Hour': '12:00 pm', 'Week': ['1', '2', '3', '4']}]</t>
  </si>
  <si>
    <t>M/W/Th/F/Sa 9 am  12 pm</t>
  </si>
  <si>
    <t>[{'Day': 'monday', 'Opening_Hour': '09:00 am', 'Closing_Hour': '12:00 pm', 'Week': ['1', '2', '3', '4']}, {'Day': 'wednesday', 'Opening_Hour': '09:00 am', 'Closing_Hour': '12:00 pm', 'Week': ['1', '2', '3', '4']}, {'Day': 'thursday', 'Opening_Hour': '09:00 am', 'Closing_Hour': '12:00 pm', 'Week': ['1', '2', '3', '4']}, {'Day': 'friday', 'Opening_Hour': '09:00 am', 'Closing_Hour': '12:00 pm', 'Week': ['1', '2', '3', '4']}, {'Day': 'saturday', 'Opening_Hour': '09:00 am', 'Closing_Hour': '12:00 pm', 'Week': ['1', '2', '3', '4']}]</t>
  </si>
  <si>
    <t>Every 2nd Saturday 9am-12pm</t>
  </si>
  <si>
    <t>[{'Day': 'saturday', 'Opening_Hour': '09:00 am', 'Closing_Hour': '12:00 pm', 'Week': ['2']}]</t>
  </si>
  <si>
    <t>Tuesdays 9am by appointment call agency for appointment</t>
  </si>
  <si>
    <t>M 4:00p-6:00p W&amp;F 12:00p-2p</t>
  </si>
  <si>
    <t>Fridays 10:00 am -1:30 pm</t>
  </si>
  <si>
    <t>[{'Day': 'friday', 'Opening_Hour': '10:00 am', 'Closing_Hour': '01:30 pm', 'Week': ['1', '2', '3', '4']}]</t>
  </si>
  <si>
    <t>Tuesday 6:30- 7:30 pm, 2nd Saturday 8 am- 11 am</t>
  </si>
  <si>
    <t>[{'Day': 'tuesday', 'Opening_Hour': '06:30 pm', 'Closing_Hour': '07:30 pm', 'Week': ['1', '2', '3', '4']}, {'Day': 'saturday', 'Opening_Hour': '08:00 am', 'Closing_Hour': '11:00 am', 'Week': ['1', '2', '3', '4']}]</t>
  </si>
  <si>
    <t>Mon-Fri 1pm-3pm</t>
  </si>
  <si>
    <t>[{'Day': 'monday', 'Opening_Hour': '01:00 pm', 'Closing_Hour': '03:00 pm', 'Week': ['1', '2', '3', '4']}, {'Day': 'tuesday', 'Opening_Hour': '01:00 pm', 'Closing_Hour': '03:00 pm', 'Week': ['1', '2', '3', '4']}, {'Day': 'wednesday', 'Opening_Hour': '01:00 pm', 'Closing_Hour': '03:00 pm', 'Week': ['1', '2', '3', '4']}, {'Day': 'thursday', 'Opening_Hour': '01:00 pm', 'Closing_Hour': '03:00 pm', 'Week': ['1', '2', '3', '4']}, {'Day': 'friday', 'Opening_Hour': '01:00 pm', 'Closing_Hour': '03:00 pm', 'Week': ['1', '2', '3', '4']}]</t>
  </si>
  <si>
    <t>1st and 3rd Thursday 9-11:30am</t>
  </si>
  <si>
    <t>[{'Day': 'thursday', 'Opening_Hour': '09:00 am', 'Closing_Hour': '11:30 am', 'Week': ['1', '3']}]</t>
  </si>
  <si>
    <t>M-T-F: 10:00 am - 12:00 pm,  W &amp; F: 8:00 am - 12:00 PM</t>
  </si>
  <si>
    <t>[{'Day': 'monday', 'Opening_Hour': '10:00 am', 'Closing_Hour': '12:00 pm', 'Week': ['1', '2', '3', '4']}, {'Day': 'tuesday', 'Opening_Hour': '10:00 am', 'Closing_Hour': '12:00 pm', 'Week': ['1', '2', '3', '4']}, {'Day': 'friday', 'Opening_Hour': '08:00 am', 'Closing_Hour': '12:00 pm', 'Week': ['1', '2', '3', '4']}]</t>
  </si>
  <si>
    <t>Tuesday &amp; Thurs 11:00 -12:00 pm, 3rd Thursday 6pm -7pm</t>
  </si>
  <si>
    <t>[{'Day': 'tuesday', 'Opening_Hour': '11:00 am', 'Closing_Hour': '12:00 pm', 'Week': ['1', '2', '3', '4']}, {'Day': 'thursday', 'Opening_Hour': '11:00 am', 'Closing_Hour': '12:00 pm', 'Week': ['1', '2', '3', '4']}, {'Day': 'thursday', 'Opening_Hour': '06:00 pm', 'Closing_Hour': '07:00 pm', 'Week': ['3']}]</t>
  </si>
  <si>
    <t>1st and 3rd Friday, 10 am ; Every Wednesday, 10 am- 12 pm</t>
  </si>
  <si>
    <t>Every Tues 11:30am-12:30pm</t>
  </si>
  <si>
    <t>Tuesday, Wednesday, and Thursday  4pm-5:45pm</t>
  </si>
  <si>
    <t>[{'Day': 'tuesday', 'Opening_Hour': '04:00 pm', 'Closing_Hour': '05:45 pm', 'Week': ['1', '2', '3', '4']}, {'Day': 'wednesday', 'Opening_Hour': '04:00 pm', 'Closing_Hour': '05:45 pm', 'Week': ['1', '2', '3', '4']}, {'Day': 'thursday', 'Opening_Hour': '04:00 pm', 'Closing_Hour': '05:45 pm', 'Week': ['1', '2', '3', '4']}]</t>
  </si>
  <si>
    <t>Wednesday 9am - 12pm</t>
  </si>
  <si>
    <t>Mon-Sati 9 am-3pm</t>
  </si>
  <si>
    <t>[{'Day': 'monday', 'Opening_Hour': '09:00 am', 'Closing_Hour': '03:00 pm', 'Week': ['1', '2', '3', '4']}, {'Day': 'saturday', 'Opening_Hour': '09:00 am', 'Closing_Hour': '03:00 pm', 'Week': ['1', '2', '3', '4']}]</t>
  </si>
  <si>
    <t>1st and 3rd Friday's 11am-12pm</t>
  </si>
  <si>
    <t>[{'Day': 'friday', 'Opening_Hour': '11:00 am', 'Closing_Hour': '12:00 pm', 'Week': ['1', '3']}]</t>
  </si>
  <si>
    <t>Tuesdays and Thursdays 9am-12:00pm</t>
  </si>
  <si>
    <t>[{'Day': 'tuesday', 'Opening_Hour': '09:00 am', 'Closing_Hour': '12:00 pm', 'Week': ['1', '2', '3', '4']}, {'Day': 'thursday', 'Opening_Hour': '09:00 am', 'Closing_Hour': '12:00 pm', 'Week': ['1', '2', '3', '4']}]</t>
  </si>
  <si>
    <t>1st Tuesday and 3rd Tuesday noon-1pm</t>
  </si>
  <si>
    <t>[{'Day': 'tuesday', 'Opening_Hour': '12:00 pm', 'Closing_Hour': '01:00 pm', 'Week': ['1', '3']}]</t>
  </si>
  <si>
    <t>2nd &amp; 4th Saturday's monthly 9-10am</t>
  </si>
  <si>
    <t>Monday and Friday's 10am-4pm &amp; Tuesdays 12pm-4pm</t>
  </si>
  <si>
    <t>[{'Day': 'monday', 'Opening_Hour': '10:00 am', 'Closing_Hour': '04:00 pm', 'Week': ['1', '2', '3', '4']}, {'Day': 'friday', 'Opening_Hour': '10:00 am', 'Closing_Hour': '04:00 pm', 'Week': ['1', '2', '3', '4']}, {'Day': 'tuesday', 'Opening_Hour': '12:00 pm', 'Closing_Hour': '04:00 pm', 'Week': ['1', '2', '3', '4']}]</t>
  </si>
  <si>
    <t>Thursdays 8:30am-11:00am</t>
  </si>
  <si>
    <t>[{'Day': 'thursday', 'Opening_Hour': '08:30 am', 'Closing_Hour': '11:00 am', 'Week': ['1', '2', '3', '4']}]</t>
  </si>
  <si>
    <t>3rd  Fridays 9am-12pm</t>
  </si>
  <si>
    <t>[{'Day': 'friday', 'Opening_Hour': '09:00 am', 'Closing_Hour': '12:00 pm', 'Week': ['3']}]</t>
  </si>
  <si>
    <t>1st &amp; 3rd Wed 10:30-12:00 pm</t>
  </si>
  <si>
    <t>[{'Day': 'wednesday', 'Opening_Hour': '10:30 am', 'Closing_Hour': '12:00 pm', 'Week': ['1', '3']}]</t>
  </si>
  <si>
    <t>3rd Saturday at 10am</t>
  </si>
  <si>
    <t>[{'Day': 'saturday', 'Opening_Hour': '10:00 am', 'Closing_Hour': 'unknown', 'Week': ['3']}]</t>
  </si>
  <si>
    <t>Every Wednesday 1-2pm; every 4th Tuesday 10am-11am</t>
  </si>
  <si>
    <t>[{'Day': 'wednesday', 'Opening_Hour': '01:00 pm', 'Closing_Hour': '02:00 pm', 'Week': ['1', '2', '3', '4']}, {'Day': 'tuesday', 'Opening_Hour': '10:00 am', 'Closing_Hour': '11:00 am', 'Week': ['4']}]</t>
  </si>
  <si>
    <t>2nd and 4th Saturdays, 10am -12pm</t>
  </si>
  <si>
    <t>Thursday 5-7 pm</t>
  </si>
  <si>
    <t>[{'Day': 'thursday', 'Opening_Hour': '05:00 pm', 'Closing_Hour': '07:00 pm', 'Week': ['1', '2', '3', '4']}]</t>
  </si>
  <si>
    <t>2nd, 3rd &amp; 4th Tue from, 1pm - 4pm</t>
  </si>
  <si>
    <t>[{'Day': 'tuesday', 'Opening_Hour': '01:00 pm', 'Closing_Hour': '04:00 pm', 'Week': ['2', '3', '4']}]</t>
  </si>
  <si>
    <t>Monday, Tuesday, &amp; Wednesday by delivery, call for information</t>
  </si>
  <si>
    <t>[{'Day': 'monday', 'Opening_Hour': 'unknown', 'Closing_Hour': 'unknown', 'Week': ['1', '2', '3', '4']}, {'Day': 'tuesday', 'Opening_Hour': 'unknown', 'Closing_Hour': 'unknown', 'Week': ['1', '2', '3', '4']}, {'Day': 'wednesday', 'Opening_Hour': 'unknown', 'Closing_Hour': 'unknown', 'Week': ['1', '2', '3', '4']}]</t>
  </si>
  <si>
    <t>Tues 9-11:45, Thurs. 3:00pm-5:45pm</t>
  </si>
  <si>
    <t>[{'Day': 'tuesday', 'Opening_Hour': '09:00 am', 'Closing_Hour': '11:45 am', 'Week': ['1', '2', '3', '4']}, {'Day': 'thursday', 'Opening_Hour': '03:00 pm', 'Closing_Hour': '05:45 pm', 'Week': ['1', '2', '3', '4']}]</t>
  </si>
  <si>
    <t>First Saturday at 9am and by emergency appointment</t>
  </si>
  <si>
    <t>[{'Day': 'saturday', 'Opening_Hour': '09:00 am', 'Closing_Hour': 'unknown', 'Week': ['1', '2', '3', '4']}]</t>
  </si>
  <si>
    <t>2nd Tues 10am-2pm, 4th Tues 3pm-6pm</t>
  </si>
  <si>
    <t>[{'Day': 'tuesday', 'Opening_Hour': '10:00 am', 'Closing_Hour': '02:00 pm', 'Week': ['2']}, {'Day': 'tuesday', 'Opening_Hour': '03:00 pm', 'Closing_Hour': '06:00 pm', 'Week': ['4']}]</t>
  </si>
  <si>
    <t>1st &amp; 3rd Monday 9:15am; 2nd &amp; 4th Wednesday at 9am</t>
  </si>
  <si>
    <t>Wednesdays 1:30-5pm / 2nd &amp; 4th Thursdays 1:30 - 5pm</t>
  </si>
  <si>
    <t>[{'Day': 'wednesday', 'Opening_Hour': '01:30 pm', 'Closing_Hour': '05:00 pm', 'Week': ['2', '4']}, {'Day': 'thursday', 'Opening_Hour': '01:30 pm', 'Closing_Hour': '05:00 pm', 'Week': ['2', '4']}]</t>
  </si>
  <si>
    <t>2nd &amp; 4th Mondays 12pm-2pm</t>
  </si>
  <si>
    <t>[{'Day': 'monday', 'Opening_Hour': '12:00 pm', 'Closing_Hour': '02:00 pm', 'Week': ['2', '4']}]</t>
  </si>
  <si>
    <t>1st Friday of the month 10am and 10am-2pm M-F as needed</t>
  </si>
  <si>
    <t>every Friday 1pm-2:30pm; Wednesday (as needed) 5-6pm</t>
  </si>
  <si>
    <t>[{'Day': 'friday', 'Opening_Hour': '01:00 pm', 'Closing_Hour': '02:30 pm', 'Week': ['1', '2', '3', '4']}, {'Day': 'wednesday', 'Opening_Hour': '05:00 pm', 'Closing_Hour': '06:00 pm', 'Week': ['1', '2', '3', '4']}]</t>
  </si>
  <si>
    <t>Monday 4-6:30pm, Tuesday 1-4pm, Thursday 10am-1pm</t>
  </si>
  <si>
    <t>[{'Day': 'monday', 'Opening_Hour': '04:00 pm', 'Closing_Hour': '06:30 pm', 'Week': ['1', '2', '3', '4']}, {'Day': 'tuesday', 'Opening_Hour': '01:00 pm', 'Closing_Hour': '04:00 pm', 'Week': ['1', '2', '3', '4']}, {'Day': 'thursday', 'Opening_Hour': '10:00 am', 'Closing_Hour': '01:00 pm', 'Week': ['1', '2', '3', '4']}]</t>
  </si>
  <si>
    <t>1st Friday 1-2pm</t>
  </si>
  <si>
    <t>[{'Day': 'friday', 'Opening_Hour': '01:00 pm', 'Closing_Hour': '02:00 pm', 'Week': ['1']}]</t>
  </si>
  <si>
    <t>24/7</t>
  </si>
  <si>
    <t>3rd Sat 10am-11am</t>
  </si>
  <si>
    <t>[{'Day': 'saturday', 'Opening_Hour': '10:00 am', 'Closing_Hour': '11:00 am', 'Week': ['3']}]</t>
  </si>
  <si>
    <t>Thursday's 2-3:30 and 7:30-9</t>
  </si>
  <si>
    <t>Monday 1:00pm-4:00pm and Thursday 2:00pm  5:00pm</t>
  </si>
  <si>
    <t>Tuesday and Thursday from 9:30 a.m. - 12:30 p.m.</t>
  </si>
  <si>
    <t>Mon-Sat 9a.m.-2p..m.</t>
  </si>
  <si>
    <t>Wednesday 7-9pm; Saturday 6-8pm; Sunday 6-8pm</t>
  </si>
  <si>
    <t>[{'Day': 'wednesday', 'Opening_Hour': '07:00 pm', 'Closing_Hour': '09:00 pm', 'Week': ['1', '2', '3', '4']}, {'Day': 'saturday', 'Opening_Hour': '06:00 pm', 'Closing_Hour': '08:00 pm', 'Week': ['1', '2', '3', '4']}, {'Day': 'sunday', 'Opening_Hour': '06:00 pm', 'Closing_Hour': '08:00 pm', 'Week': ['1', '2', '3', '4']}]</t>
  </si>
  <si>
    <t>4th Fridays 11am-1pm</t>
  </si>
  <si>
    <t>[{'Day': 'friday', 'Opening_Hour': '11:00 am', 'Closing_Hour': '01:00 pm', 'Week': ['4']}]</t>
  </si>
  <si>
    <t>2nd &amp; 4th Wednesday 12:00 pm- 5:00 pm</t>
  </si>
  <si>
    <t>[{'Day': 'wednesday', 'Opening_Hour': '12:00 pm', 'Closing_Hour': '05:00 pm', 'Week': ['2', '4']}]</t>
  </si>
  <si>
    <t>1st and 3rd Wed 11 am- 3 pm</t>
  </si>
  <si>
    <t>[{'Day': 'wednesday', 'Opening_Hour': '11:00 am', 'Closing_Hour': '03:00 pm', 'Week': ['1', '3']}]</t>
  </si>
  <si>
    <t>1st &amp; 3rd Thursday 9:30 am -11:30am</t>
  </si>
  <si>
    <t>[{'Day': 'thursday', 'Opening_Hour': '09:30 am', 'Closing_Hour': '11:30 am', 'Week': ['1', '3']}]</t>
  </si>
  <si>
    <t>Monday: 9:00 am-11:00am Tuesday2:00pm-3:00pm Wednesday:2:00pm-4:00pm Thursday:9:00am-11:00am Friday:9:00am-11:00am</t>
  </si>
  <si>
    <t>Delivery only around noon every Tuesday, every Saturday, every 5th Friday</t>
  </si>
  <si>
    <t>[{'Day': 'tuesday', 'Opening_Hour': 'unknown', 'Closing_Hour': 'unknown', 'Week': ['1', '2', '3', '4']}, {'Day': 'saturday', 'Opening_Hour': 'unknown', 'Closing_Hour': 'unknown', 'Week': ['1', '2', '3', '4']}, {'Day': 'friday', 'Opening_Hour': 'unknown', 'Closing_Hour': 'unknown', 'Week': ['5']}]</t>
  </si>
  <si>
    <t>1st Monday 8:30-9:15am for last names A-G, 2nd Monday 8:30-9:15am for last names H-M, 3rd Monday 8:30-9:15am for last names N-S, and 4th Monday 8:30-9:15am for last names T-Z</t>
  </si>
  <si>
    <t>[1, 2, 3, 4]</t>
  </si>
  <si>
    <t>Tuesdays &amp; Fridays 2:00pm-3:00pm Summer Hours 11-1</t>
  </si>
  <si>
    <t>First and third Saturday 11:00 am at the latest, may begin serving earlier. Notice sent out via facebook post), every Tuesday at 11</t>
  </si>
  <si>
    <t>[{'Day': 'saturday', 'Opening_Hour': '11:00 am', 'Closing_Hour': 'unknown', 'Week': ['1', '3']}, {'Day': 'tuesday', 'Opening_Hour': '11:00 am', 'Closing_Hour': 'unknown', 'Week': ['1', '2', '3', '4']}]</t>
  </si>
  <si>
    <t>Every Monday 9am-1pm, every Tuesday 7:30am-10am, Every Wednesday 12:30pm-4:30pm</t>
  </si>
  <si>
    <t>[{'Day': 'monday', 'Opening_Hour': '09:00 am', 'Closing_Hour': '01:00 pm', 'Week': ['1', '2', '3', '4']}, {'Day': 'tuesday', 'Opening_Hour': '07:30 am', 'Closing_Hour': '10:00 am', 'Week': ['1', '2', '3', '4']}, {'Day': 'wednesday', 'Opening_Hour': '12:30 pm', 'Closing_Hour': '04:30 pm', 'Week': ['1', '2', '3', '4']}]</t>
  </si>
  <si>
    <t>Every Thursday from 12-1pm and 1st/3rd/5th Saturday from 12-1pm</t>
  </si>
  <si>
    <t>[{'Day': 'thursday', 'Opening_Hour': '12:00 pm', 'Closing_Hour': '01:00 pm', 'Week': ['1', '2', '3', '4']}, {'Day': 'saturday', 'Opening_Hour': '12:00 pm', 'Closing_Hour': '01:00 pm', 'Week': ['1', '3', '5']}]</t>
  </si>
  <si>
    <t>Monday 1-3pm, Wednesday 5-6pm, Friday 11am-1pm</t>
  </si>
  <si>
    <t>[{'Day': 'monday', 'Opening_Hour': '01:00 pm', 'Closing_Hour': '03:00 pm', 'Week': ['1', '2', '3', '4']}, {'Day': 'wednesday', 'Opening_Hour': '05:00 pm', 'Closing_Hour': '06:00 pm', 'Week': ['1', '2', '3', '4']}, {'Day': 'friday', 'Opening_Hour': '11:00 am', 'Closing_Hour': '01:00 pm', 'Week': ['1', '2', '3', '4']}]</t>
  </si>
  <si>
    <t>Saturdays  10:00 am-12:00 pm</t>
  </si>
  <si>
    <t>[{'Day': 'saturday', 'Opening_Hour': '10:00 am', 'Closing_Hour': '12:00 pm', 'Week': ['1', '2', '3', '4']}]</t>
  </si>
  <si>
    <t>Every 2nd Monday starts at 12 until finished, Every Wednesday 4-5, Every 4th Friday 12pm-2pm</t>
  </si>
  <si>
    <t>Wednesdays 1pm (while supplies last) &amp; 4th Saturdays 10:00am (while supplies last)</t>
  </si>
  <si>
    <t>[{'Day': 'wednesday', 'Opening_Hour': '01:00 pm', 'Closing_Hour': 'unknown', 'Week': ['1', '2', '3', '4']}, {'Day': 'saturday', 'Opening_Hour': '10:00 am', 'Closing_Hour': 'unknown', 'Week': ['4']}]</t>
  </si>
  <si>
    <t>Saturdays 9- 11 am</t>
  </si>
  <si>
    <t>[{'Day': 'saturday', 'Opening_Hour': '09:00 am', 'Closing_Hour': '11:00 am', 'Week': ['1', '2', '3', '4']}]</t>
  </si>
  <si>
    <t>2nd &amp; 4th Monday 8:30am-11:30am, Wednesday after the first Tuesday at 7:30pm</t>
  </si>
  <si>
    <t>[{'Day': 'monday', 'Opening_Hour': '08:30 am', 'Closing_Hour': '11:30 am', 'Week': ['2', '4']}, {'Day': 'tuesday', 'Opening_Hour': 'unknown', 'Closing_Hour': 'unknown', 'Week': ['1', '2', '3', '4']}, {'Day': 'wednesday', 'Opening_Hour': 'unknown', 'Closing_Hour': 'unknown', 'Week': ['1', '2', '3', '4']}]</t>
  </si>
  <si>
    <t>10 AM  12 PM  Wed After 2nd &amp; 4th Sunday</t>
  </si>
  <si>
    <t>[{'Day': 'wednesday', 'Opening_Hour': 'unknown', 'Closing_Hour': 'unknown', 'Week': ['2', '4']}, {'Day': 'sunday', 'Opening_Hour': 'unknown', 'Closing_Hour': 'unknown', 'Week': ['2', '4']}]</t>
  </si>
  <si>
    <t>2nd Tuesday and  3rd Tuesday from 10 to 1 pm.</t>
  </si>
  <si>
    <t>[{'Day': 'tuesday', 'Opening_Hour': '10:00 am', 'Closing_Hour': '01:00 pm', 'Week': ['2', '3']}]</t>
  </si>
  <si>
    <t>2nd &amp; 4th Tuesday 10:30 am - 12:30 pm</t>
  </si>
  <si>
    <t>1st Thursday 11am-12pm</t>
  </si>
  <si>
    <t>[{'Day': 'thursday', 'Opening_Hour': '11:00 am', 'Closing_Hour': '12:00 pm', 'Week': ['1']}]</t>
  </si>
  <si>
    <t>Fridays 5:30 p.m. - as supplies last</t>
  </si>
  <si>
    <t>[{'Day': 'friday', 'Opening_Hour': '05:30 pm', 'Closing_Hour': 'unknown', 'Week': ['1', '2', '3', '4']}]</t>
  </si>
  <si>
    <t>2nd Saturday 12pm-3pm (every other month)</t>
  </si>
  <si>
    <t>[{'Day': 'saturday', 'Opening_Hour': '12:00 pm', 'Closing_Hour': '03:00 pm', 'Week': ['2']}]</t>
  </si>
  <si>
    <t>1st &amp; 3rd Mondays 9-10am</t>
  </si>
  <si>
    <t>[{'Day': 'monday', 'Opening_Hour': '09:00 am', 'Closing_Hour': '10:00 am', 'Week': ['1', '3']}]</t>
  </si>
  <si>
    <t>2nd &amp; 3rd Sat 1:00 pm - 3:00 pm</t>
  </si>
  <si>
    <t>[{'Day': 'saturday', 'Opening_Hour': '01:00 pm', 'Closing_Hour': '03:00 pm', 'Week': ['2', '3']}]</t>
  </si>
  <si>
    <t>3rd Saturday 11am-2pm and by emergency</t>
  </si>
  <si>
    <t>[{'Day': 'saturday', 'Opening_Hour': '11:00 am', 'Closing_Hour': '02:00 pm', 'Week': ['3']}]</t>
  </si>
  <si>
    <t>Tuesdays 10:15 am- 12pm</t>
  </si>
  <si>
    <t>[{'Day': 'tuesday', 'Opening_Hour': '10:15 am', 'Closing_Hour': '12:00 pm', 'Week': ['1', '2', '3', '4']}]</t>
  </si>
  <si>
    <t>3rd Sat 10 am - 11:00 am</t>
  </si>
  <si>
    <t>1st &amp; 3rd Wednesday's 9-10a:30am and 6-6:30pm</t>
  </si>
  <si>
    <t>[{'Day': 'wednesday', 'Opening_Hour': '09:00 am', 'Closing_Hour': '10:00 am', 'Week': ['1', '3']}]</t>
  </si>
  <si>
    <t>Saturday 11:00 am - 12:00 pm</t>
  </si>
  <si>
    <t>2nd and 4th Friday 9:30am-11am</t>
  </si>
  <si>
    <t>[{'Day': 'friday', 'Opening_Hour': '09:30 am', 'Closing_Hour': '11:00 am', 'Week': ['2', '4']}]</t>
  </si>
  <si>
    <t>M-W 8:30a-10:00a</t>
  </si>
  <si>
    <t>[{'Day': 'monday', 'Opening_Hour': '08:30 am', 'Closing_Hour': '10:00 am', 'Week': ['1', '2', '3', '4']}, {'Day': 'tuesday', 'Opening_Hour': '08:30 am', 'Closing_Hour': '10:00 am', 'Week': ['1', '2', '3', '4']}, {'Day': 'wednesday', 'Opening_Hour': '08:30 am', 'Closing_Hour': '10:00 am', 'Week': ['1', '2', '3', '4']}]</t>
  </si>
  <si>
    <t>1st &amp; 3rd Tuesday 10 a.m. - 11a.m., 1st &amp; 3rd Wednesday 5 p.m. - 6 p.m., 5th Tues 10am-11am</t>
  </si>
  <si>
    <t>[{'Day': 'tuesday', 'Opening_Hour': '10:00 am', 'Closing_Hour': '11:00 am', 'Week': ['1', '3']}, {'Day': 'wednesday', 'Opening_Hour': '05:00 pm', 'Closing_Hour': '06:00 pm', 'Week': ['1', '3']}, {'Day': 'tuesday', 'Opening_Hour': '10:00 am', 'Closing_Hour': '11:00 am', 'Week': ['5']}]</t>
  </si>
  <si>
    <t>3rd Thursday 5-6pm call 910-893-4490 to sign-up</t>
  </si>
  <si>
    <t>[{'Day': 'thursday', 'Opening_Hour': '05:00 pm', 'Closing_Hour': '06:00 pm', 'Week': ['3']}]</t>
  </si>
  <si>
    <t>1st &amp; 4th Monday 7:00 am -10:00 am</t>
  </si>
  <si>
    <t>[{'Day': 'monday', 'Opening_Hour': '07:00 am', 'Closing_Hour': '10:00 am', 'Week': ['1', '4']}]</t>
  </si>
  <si>
    <t>3rd Tues 4pm-6pm, Thursdays 4p-6p, Sa- by appointment only</t>
  </si>
  <si>
    <t>[{'Day': 'tuesday', 'Opening_Hour': '04:00 pm', 'Closing_Hour': '06:00 pm', 'Week': ['3']}, {'Day': 'thursday', 'Opening_Hour': '04:00 pm', 'Closing_Hour': '06:00 pm', 'Week': ['1', '2', '3', '4']}, {'Day': 'saturday', 'Opening_Hour': 'unknown', 'Closing_Hour': 'unknown', 'Week': ['1', '2', '3', '4']}]</t>
  </si>
  <si>
    <t>4th Saturday 9:30 am -11:30 am</t>
  </si>
  <si>
    <t>[{'Day': 'saturday', 'Opening_Hour': '09:30 am', 'Closing_Hour': '11:30 am', 'Week': ['4']}]</t>
  </si>
  <si>
    <t>Daily-Breakfast for men 7am; Breakfast for women 7:45am; Lunch for men 12:30pm; Lunch for women at 11:45am; Dinner for men 5pm; Dinner for women 4pm</t>
  </si>
  <si>
    <t>Wed 2pm-5pm</t>
  </si>
  <si>
    <t>[{'Day': 'wednesday', 'Opening_Hour': '02:00 pm', 'Closing_Hour': '05:00 pm', 'Week': ['1', '2', '3', '4']}]</t>
  </si>
  <si>
    <t>3rd Tuesday 10am-12pm</t>
  </si>
  <si>
    <t>[{'Day': 'tuesday', 'Opening_Hour': '10:00 am', 'Closing_Hour': '12:00 pm', 'Week': ['3']}]</t>
  </si>
  <si>
    <t>3rd Saturday 10:30 am -12:30 pm</t>
  </si>
  <si>
    <t>[{'Day': 'saturday', 'Opening_Hour': '10:30 am', 'Closing_Hour': '12:30 pm', 'Week': ['3']}]</t>
  </si>
  <si>
    <t>2nd and 4th Saturday 10-12:30pm</t>
  </si>
  <si>
    <t>[{'Day': 'saturday', 'Opening_Hour': '10:00 am', 'Closing_Hour': '12:30 pm', 'Week': ['2', '4']}]</t>
  </si>
  <si>
    <t>2nd and 4th Saturday.  9- 11 am</t>
  </si>
  <si>
    <t>1st Wednesday and 2nd and 4th Thursday of the month 1-4pm</t>
  </si>
  <si>
    <t>[{'Day': 'wednesday', 'Opening_Hour': '01:00 pm', 'Closing_Hour': '04:00 pm', 'Week': ['1']}, {'Day': 'thursday', 'Opening_Hour': '01:00 pm', 'Closing_Hour': '04:00 pm', 'Week': ['2', '4']}]</t>
  </si>
  <si>
    <t>Tuesday &amp; Thursday 1pm - 2pm (No Holiday Services)</t>
  </si>
  <si>
    <t>[{'Day': 'tuesday', 'Opening_Hour': '01:00 pm', 'Closing_Hour': '02:00 pm', 'Week': ['1', '2', '3', '4']}, {'Day': 'thursday', 'Opening_Hour': '01:00 pm', 'Closing_Hour': '02:00 pm', 'Week': ['1', '2', '3', '4']}]</t>
  </si>
  <si>
    <t>Family Drop In shelter : 5pm (First come first served)</t>
  </si>
  <si>
    <t>Monday -Friday 4:30pm - 5:30pm ( No Holiday Services)</t>
  </si>
  <si>
    <t>[{'Day': 'monday', 'Opening_Hour': '04:30 pm', 'Closing_Hour': '05:30 pm', 'Week': ['1', '2', '3', '4']}, {'Day': 'tuesday', 'Opening_Hour': '04:30 pm', 'Closing_Hour': '05:30 pm', 'Week': ['1', '2', '3', '4']}, {'Day': 'wednesday', 'Opening_Hour': '04:30 pm', 'Closing_Hour': '05:30 pm', 'Week': ['1', '2', '3', '4']}, {'Day': 'thursday', 'Opening_Hour': '04:30 pm', 'Closing_Hour': '05:30 pm', 'Week': ['1', '2', '3', '4']}, {'Day': 'friday', 'Opening_Hour': '04:30 pm', 'Closing_Hour': '05:30 pm', 'Week': ['1', '2', '3', '4']}]</t>
  </si>
  <si>
    <t>Monday-Thursday 9am-4pm by appointment only</t>
  </si>
  <si>
    <t>Fridays 9-11am</t>
  </si>
  <si>
    <t>[{'Day': 'friday', 'Opening_Hour': '09:00 am', 'Closing_Hour': '11:00 am', 'Week': ['1', '2', '3', '4']}]</t>
  </si>
  <si>
    <t>3rd Saturday 9:30am-11:30am and by emergency</t>
  </si>
  <si>
    <t>[{'Day': 'saturday', 'Opening_Hour': '09:30 am', 'Closing_Hour': '11:30 am', 'Week': ['3']}]</t>
  </si>
  <si>
    <t>Fridays at 2:00pm-3:00pm</t>
  </si>
  <si>
    <t>Wed 9am-2pm</t>
  </si>
  <si>
    <t>[{'Day': 'wednesday', 'Opening_Hour': '09:00 am', 'Closing_Hour': '02:00 pm', 'Week': ['1', '2', '3', '4']}]</t>
  </si>
  <si>
    <t>3rd Thursdays 6:30-8:30pm</t>
  </si>
  <si>
    <t>[{'Day': 'thursday', 'Opening_Hour': '06:30 pm', 'Closing_Hour': '08:30 pm', 'Week': ['3']}]</t>
  </si>
  <si>
    <t>Fridays 9-10:30am (closed on Good Friday The Friday after Thanksgiving The Friday between Christmas and New Years Day)</t>
  </si>
  <si>
    <t>[{'Day': 'friday', 'Opening_Hour': '09:00 am', 'Closing_Hour': '10:30 am', 'Week': ['1', '2', '3', '4']}]</t>
  </si>
  <si>
    <t>Friday after the 3rd Sunday, 12-2pm</t>
  </si>
  <si>
    <t>[{'Day': 'friday', 'Opening_Hour': '12:00 pm', 'Closing_Hour': '02:00 pm', 'Week': ['3']}, {'Day': 'sunday', 'Opening_Hour': '12:00 pm', 'Closing_Hour': '02:00 pm', 'Week': ['3']}]</t>
  </si>
  <si>
    <t>1st &amp; 3rd Wed 8:30AM-9:30AM</t>
  </si>
  <si>
    <t>[{'Day': 'wednesday', 'Opening_Hour': '08:30 am', 'Closing_Hour': '09:30 am', 'Week': ['1', '3']}]</t>
  </si>
  <si>
    <t>2 Fridays per month 10:00am-1:00pm</t>
  </si>
  <si>
    <t>[{'Day': 'friday', 'Opening_Hour': '10:00 am', 'Closing_Hour': '01:00 pm', 'Week': ['2']}]</t>
  </si>
  <si>
    <t>4th Saturday from 8:30-11am</t>
  </si>
  <si>
    <t>[{'Day': 'saturday', 'Opening_Hour': '08:30 am', 'Closing_Hour': '11:00 am', 'Week': ['4']}]</t>
  </si>
  <si>
    <t>3rd Sat 11:00 am - 12:30pm &amp; as needed</t>
  </si>
  <si>
    <t>[{'Day': 'saturday', 'Opening_Hour': '11:00 am', 'Closing_Hour': '12:30 pm', 'Week': ['3']}]</t>
  </si>
  <si>
    <t>Sundays 9 am - 1 pm</t>
  </si>
  <si>
    <t>[{'Day': 'sunday', 'Opening_Hour': '09:00 am', 'Closing_Hour': '01:00 pm', 'Week': ['1', '2', '3', '4']}]</t>
  </si>
  <si>
    <t>Every other Saturday, 11:00 am to 1:00 pm</t>
  </si>
  <si>
    <t>[{'Day': 'saturday', 'Opening_Hour': '11:00 am', 'Closing_Hour': '01:00 pm', 'Week': ['1', '2', '3', '4']}]</t>
  </si>
  <si>
    <t>1st Friday 2pm-4pm and by Emergency</t>
  </si>
  <si>
    <t>[{'Day': 'friday', 'Opening_Hour': '02:00 pm', 'Closing_Hour': '04:00 pm', 'Week': ['1']}]</t>
  </si>
  <si>
    <t>Every Sunday 11am-12pm</t>
  </si>
  <si>
    <t>[{'Day': 'sunday', 'Opening_Hour': '11:00 am', 'Closing_Hour': '12:00 pm', 'Week': ['1', '2', '3', '4']}]</t>
  </si>
  <si>
    <t>Tuesday 9-9:30</t>
  </si>
  <si>
    <t>2nd Saturday 10:00 am - 11:30 am</t>
  </si>
  <si>
    <t>[{'Day': 'saturday', 'Opening_Hour': '10:00 am', 'Closing_Hour': '11:30 am', 'Week': ['2']}]</t>
  </si>
  <si>
    <t>Fourth Saturday of each month. 10-11:30 am</t>
  </si>
  <si>
    <t>[{'Day': 'saturday', 'Opening_Hour': '10:00 am', 'Closing_Hour': '11:30 am', 'Week': ['4']}]</t>
  </si>
  <si>
    <t>Third Saturday of each month. 11 am- 12:30 pm</t>
  </si>
  <si>
    <t>Third Saturday of each month. 9:30- 11 am</t>
  </si>
  <si>
    <t>[{'Day': 'saturday', 'Opening_Hour': '09:30 am', 'Closing_Hour': '11:00 am', 'Week': ['3']}]</t>
  </si>
  <si>
    <t>First Saturday of each month. 2- 3:30 pm</t>
  </si>
  <si>
    <t>[{'Day': 'saturday', 'Opening_Hour': '02:00 pm', 'Closing_Hour': '03:30 pm', 'Week': ['1', '2', '3', '4']}]</t>
  </si>
  <si>
    <t>Mon &amp; Wed 2nd &amp; 3rd Sat 10am-1pm</t>
  </si>
  <si>
    <t>[{'Day': 'monday', 'Opening_Hour': '02:00 pm', 'Closing_Hour': '03:00 pm', 'Week': ['2', '3']}, {'Day': 'wednesday', 'Opening_Hour': '02:00 pm', 'Closing_Hour': '03:00 pm', 'Week': ['2', '3']}, {'Day': 'saturday', 'Opening_Hour': '10:00 am', 'Closing_Hour': '01:00 pm', 'Week': ['1', '2', '3', '4']}]</t>
  </si>
  <si>
    <t>1st and 3rd Thursday from 9a-12p</t>
  </si>
  <si>
    <t>[{'Day': 'thursday', 'Opening_Hour': '09:00 am', 'Closing_Hour': '12:00 pm', 'Week': ['1', '3']}]</t>
  </si>
  <si>
    <t>2nd and 4th Tuesday 10am-2pm</t>
  </si>
  <si>
    <t>[{'Day': 'tuesday', 'Opening_Hour': '10:00 am', 'Closing_Hour': '02:00 pm', 'Week': ['2', '4']}]</t>
  </si>
  <si>
    <t>Fridays 10:00 am - 12:00 pm</t>
  </si>
  <si>
    <t>Monday, Wednesday, Friday 12:30pm-1:30pm</t>
  </si>
  <si>
    <t>[{'Day': 'monday', 'Opening_Hour': '12:30 pm', 'Closing_Hour': '01:30 pm', 'Week': ['1', '2', '3', '4']}, {'Day': 'wednesday', 'Opening_Hour': '12:30 pm', 'Closing_Hour': '01:30 pm', 'Week': ['1', '2', '3', '4']}, {'Day': 'friday', 'Opening_Hour': '12:30 pm', 'Closing_Hour': '01:30 pm', 'Week': ['1', '2', '3', '4']}]</t>
  </si>
  <si>
    <t>Mon-Fri 8a.m.-10p.m.</t>
  </si>
  <si>
    <t>[{'Day': 'monday', 'Opening_Hour': '08:00 am', 'Closing_Hour': '10:00 pm', 'Week': ['1', '2', '3', '4']}, {'Day': 'tuesday', 'Opening_Hour': '08:00 am', 'Closing_Hour': '10:00 pm', 'Week': ['1', '2', '3', '4']}, {'Day': 'wednesday', 'Opening_Hour': '08:00 am', 'Closing_Hour': '10:00 pm', 'Week': ['1', '2', '3', '4']}, {'Day': 'thursday', 'Opening_Hour': '08:00 am', 'Closing_Hour': '10:00 pm', 'Week': ['1', '2', '3', '4']}, {'Day': 'friday', 'Opening_Hour': '08:00 am', 'Closing_Hour': '10:00 pm', 'Week': ['1', '2', '3', '4']}]</t>
  </si>
  <si>
    <t>Daily 11am-11:30am</t>
  </si>
  <si>
    <t>[{'Day': 'monday', 'Opening_Hour': '11:00 am', 'Closing_Hour': '11:30 am', 'Week': ['1', '2', '3', '4']}, {'Day': 'tuesday', 'Opening_Hour': '11:00 am', 'Closing_Hour': '11:30 am', 'Week': ['1', '2', '3', '4']}, {'Day': 'wednesday', 'Opening_Hour': '11:00 am', 'Closing_Hour': '11:30 am', 'Week': ['1', '2', '3', '4']}, {'Day': 'thursday', 'Opening_Hour': '11:00 am', 'Closing_Hour': '11:30 am', 'Week': ['1', '2', '3', '4']}, {'Day': 'friday', 'Opening_Hour': '11:00 am', 'Closing_Hour': '11:30 am', 'Week': ['1', '2', '3', '4']}]</t>
  </si>
  <si>
    <t>2nd Tuesday 1pm until food runs out and by emergency</t>
  </si>
  <si>
    <t>[{'Day': 'tuesday', 'Opening_Hour': '01:00 pm', 'Closing_Hour': 'unknown', 'Week': ['2']}]</t>
  </si>
  <si>
    <t>2nd Saturday 9 am- 12 pm, 4th Thursday 6- 9:30 pm</t>
  </si>
  <si>
    <t>[{'Day': 'saturday', 'Opening_Hour': '09:00 am', 'Closing_Hour': '12:00 pm', 'Week': ['2']}, {'Day': 'thursday', 'Opening_Hour': '06:00 pm', 'Closing_Hour': '09:30 pm', 'Week': ['4']}]</t>
  </si>
  <si>
    <t>M-F/9a-1p</t>
  </si>
  <si>
    <t>2nd and 4th Tuesday 10"30am-11:30am</t>
  </si>
  <si>
    <t>2nd Sat at 9:00 and By appointment during office hours</t>
  </si>
  <si>
    <t>Monday-Friday 9am-4pm and 1st Tues @11am for Large distribution</t>
  </si>
  <si>
    <t>[{'Day': 'monday', 'Opening_Hour': '09:00 am', 'Closing_Hour': '04:00 pm', 'Week': ['1', '2', '3', '4']}, {'Day': 'tuesday', 'Opening_Hour': '09:00 am', 'Closing_Hour': '04:00 pm', 'Week': ['1', '2', '3', '4']}, {'Day': 'wednesday', 'Opening_Hour': '09:00 am', 'Closing_Hour': '04:00 pm', 'Week': ['1', '2', '3', '4']}, {'Day': 'thursday', 'Opening_Hour': '09:00 am', 'Closing_Hour': '04:00 pm', 'Week': ['1', '2', '3', '4']}, {'Day': 'friday', 'Opening_Hour': '09:00 am', 'Closing_Hour': '04:00 pm', 'Week': ['1', '2', '3', '4']}, {'Day': 'tuesday', 'Opening_Hour': 'unknown', 'Closing_Hour': 'unknown', 'Week': ['1']}]</t>
  </si>
  <si>
    <t>Tuesdays 5pm -7pm, Thursday 9am - 10:30 am, last Sat 10am - 12 noon</t>
  </si>
  <si>
    <t>[{'Day': 'tuesday', 'Opening_Hour': '05:00 pm', 'Closing_Hour': '07:00 pm', 'Week': ['1', '2', '3', '4']}, {'Day': 'thursday', 'Opening_Hour': '09:00 am', 'Closing_Hour': '10:30 am', 'Week': ['1', '2', '3', '4']}, {'Day': 'saturday', 'Opening_Hour': '10:00 am', 'Closing_Hour': '12:00 pm', 'Week': ['1', '2', '3', '4']}]</t>
  </si>
  <si>
    <t>Monday to Thursday: 12:30 PM  3:30 PM. Thursday Evening: 5:00 PM  6:45 PM. Last Saturday of each month, when were open from 9:00 AM to 12:00 PM</t>
  </si>
  <si>
    <t>[{'Day': 'monday', 'Opening_Hour': '12:30 pm', 'Closing_Hour': '03:30 pm', 'Week': ['1', '2', '3', '4']}, {'Day': 'tuesday', 'Opening_Hour': '12:30 pm', 'Closing_Hour': '03:30 pm', 'Week': ['1', '2', '3', '4']}, {'Day': 'wednesday', 'Opening_Hour': '12:30 pm', 'Closing_Hour': '03:30 pm', 'Week': ['1', '2', '3', '4']}, {'Day': 'thursday', 'Opening_Hour': '12:30 pm', 'Closing_Hour': '03:30 pm', 'Week': ['1', '2', '3', '4']}, {'Day': 'friday', 'Opening_Hour': '12:30 pm', 'Closing_Hour': '03:30 pm', 'Week': ['1', '2', '3', '4']}, {'Day': 'saturday', 'Opening_Hour': '12:30 pm', 'Closing_Hour': '03:30 pm', 'Week': ['1', '2', '3', '4']}, {'Day': 'sunday', 'Opening_Hour': '12:30 pm', 'Closing_Hour': '03:30 pm', 'Week': ['1', '2', '3', '4']}, {'Day': 'thursday', 'Opening_Hour': '05:00 pm', 'Closing_Hour': '06:45 pm', 'Week': ['1', '2', '3', '4']}, {'Day': 'saturday', 'Opening_Hour': '09:00 am', 'Closing_Hour': '12:00 pm', 'Week': ['1', '2', '3', '4']}]</t>
  </si>
  <si>
    <t>Wednesdays and Fridays 11:00am-2:00pm(No Friday before a Saturday Distribution)2nd Saturday 11:00am- 1:00PM</t>
  </si>
  <si>
    <t>[{'Day': 'wednesday', 'Opening_Hour': '11:00 am', 'Closing_Hour': '02:00 pm', 'Week': ['1', '2', '3', '4']}, {'Day': 'friday', 'Opening_Hour': '11:00 am', 'Closing_Hour': '02:00 pm', 'Week': ['1', '2', '3', '4']}, {'Day': 'saturday', 'Opening_Hour': '11:00 am', 'Closing_Hour': '01:00 pm', 'Week': ['2']}]</t>
  </si>
  <si>
    <t>1st &amp; 4th Sat 10:30 am - 12:30 pm</t>
  </si>
  <si>
    <t>[{'Day': 'saturday', 'Opening_Hour': '10:30 am', 'Closing_Hour': '12:30 pm', 'Week': ['1', '4']}]</t>
  </si>
  <si>
    <t>Tues/Wed/Fri/Sat -- 9:30 am- 12 pm.</t>
  </si>
  <si>
    <t>[{'Day': 'tuesday', 'Opening_Hour': '09:30 am', 'Closing_Hour': '12:00 pm', 'Week': ['1', '2', '3', '4']}, {'Day': 'wednesday', 'Opening_Hour': '09:30 am', 'Closing_Hour': '12:00 pm', 'Week': ['1', '2', '3', '4']}, {'Day': 'friday', 'Opening_Hour': '09:30 am', 'Closing_Hour': '12:00 pm', 'Week': ['1', '2', '3', '4']}, {'Day': 'saturday', 'Opening_Hour': '09:30 am', 'Closing_Hour': '12:00 pm', 'Week': ['1', '2', '3', '4']}]</t>
  </si>
  <si>
    <t>4th Thursday 9am-12pm and as needed</t>
  </si>
  <si>
    <t>[{'Day': 'thursday', 'Opening_Hour': '09:00 am', 'Closing_Hour': '12:00 pm', 'Week': ['4']}]</t>
  </si>
  <si>
    <t>Wed 9a.m.- 11:45p.m.</t>
  </si>
  <si>
    <t>[{'Day': 'wednesday', 'Opening_Hour': '09:00 am', 'Closing_Hour': '11:45 pm', 'Week': ['1', '2', '3', '4']}]</t>
  </si>
  <si>
    <t>Mon and  Wed. 9am-12noon and emergencies</t>
  </si>
  <si>
    <t>[{'Day': 'monday', 'Opening_Hour': '09:00 am', 'Closing_Hour': '12:00 pm', 'Week': ['1', '2', '3', '4']}, {'Day': 'wednesday', 'Opening_Hour': '09:00 am', 'Closing_Hour': '12:00 pm', 'Week': ['1', '2', '3', '4']}]</t>
  </si>
  <si>
    <t>Thurs 1pm - 2pm and as needed</t>
  </si>
  <si>
    <t>[{'Day': 'thursday', 'Opening_Hour': '01:00 pm', 'Closing_Hour': '02:00 pm', 'Week': ['1', '2', '3', '4']}]</t>
  </si>
  <si>
    <t>Tuesday &amp; Thursday 9am to10:30 am</t>
  </si>
  <si>
    <t>[{'Day': 'tuesday', 'Opening_Hour': '09:00 am', 'Closing_Hour': '10:30 am', 'Week': ['1', '2', '3', '4']}, {'Day': 'thursday', 'Opening_Hour': '09:00 am', 'Closing_Hour': '10:30 am', 'Week': ['1', '2', '3', '4']}]</t>
  </si>
  <si>
    <t>3rd Sat 2pm-6pm but during winter it's 2-5pm; every Saturday or Sunday as food is available at 11am (call ahead to confirm for Saturday/Sunday distributions)</t>
  </si>
  <si>
    <t>[{'Day': 'saturday', 'Opening_Hour': '11:00 am', 'Closing_Hour': 'unknown', 'Week': ['3']}, {'Day': 'sunday', 'Opening_Hour': '11:00 am', 'Closing_Hour': 'unknown', 'Week': ['3']}]</t>
  </si>
  <si>
    <t>Thursday 9:30am-12pm &amp; 2-4pm</t>
  </si>
  <si>
    <t>[{'Day': 'thursday', 'Opening_Hour': '09:30 am', 'Closing_Hour': '12:00 pm', 'Week': ['1', '2', '3', '4']}]</t>
  </si>
  <si>
    <t>Tuesdays 8:30am-10:30am</t>
  </si>
  <si>
    <t>1st &amp; 3rd Wednesday, 4th Saturday 9am -11am</t>
  </si>
  <si>
    <t>[{'Day': 'wednesday', 'Opening_Hour': '09:00 am', 'Closing_Hour': '11:00 am', 'Week': ['1', '3']}, {'Day': 'saturday', 'Opening_Hour': '09:00 am', 'Closing_Hour': '11:00 am', 'Week': ['4']}]</t>
  </si>
  <si>
    <t>Thursday 7pm</t>
  </si>
  <si>
    <t>[{'Day': 'thursday', 'Opening_Hour': '07:00 pm', 'Closing_Hour': 'unknown', 'Week': ['1', '2', '3', '4']}]</t>
  </si>
  <si>
    <t>MTTH10:30 am - 2:00pm, W 3:30pm - 7:00 pm</t>
  </si>
  <si>
    <t>1st and 3rd Wednesday 3-4pm</t>
  </si>
  <si>
    <t>[{'Day': 'wednesday', 'Opening_Hour': '03:00 pm', 'Closing_Hour': '04:00 pm', 'Week': ['1', '3']}]</t>
  </si>
  <si>
    <t>3rd Thursday 11am</t>
  </si>
  <si>
    <t>[{'Day': 'thursday', 'Opening_Hour': '11:00 am', 'Closing_Hour': 'unknown', 'Week': ['3']}]</t>
  </si>
  <si>
    <t>Thursday 8am - 12pm</t>
  </si>
  <si>
    <t>8:30 AM 1st, 3rd, and 4th Wednesday, monthly</t>
  </si>
  <si>
    <t>[{'Day': 'wednesday', 'Opening_Hour': '08:30 am', 'Closing_Hour': 'unknown', 'Week': ['1', '3', '4']}]</t>
  </si>
  <si>
    <t>*Open to NCSU students, staff, and faculty* Tue 12- 6 pm, Wed 2- 8 pm, Fri 12- 6 pm, Sat 12- 4 pm</t>
  </si>
  <si>
    <t>[{'Day': 'tuesday', 'Opening_Hour': '12:00 pm', 'Closing_Hour': '06:00 pm', 'Week': ['1', '2', '3', '4']}, {'Day': 'wednesday', 'Opening_Hour': '02:00 pm', 'Closing_Hour': '08:00 pm', 'Week': ['1', '2', '3', '4']}, {'Day': 'friday', 'Opening_Hour': '12:00 pm', 'Closing_Hour': '06:00 pm', 'Week': ['1', '2', '3', '4']}, {'Day': 'saturday', 'Opening_Hour': '12:00 pm', 'Closing_Hour': '06:00 pm', 'Week': ['1', '2', '3', '4']}]</t>
  </si>
  <si>
    <t>2nd and 4th Saturdays 10am-12pm</t>
  </si>
  <si>
    <t>Monday, Tuesday, Thursday, Friday: 9am-Noon</t>
  </si>
  <si>
    <t>[{'Day': 'monday', 'Opening_Hour': '09:00 am', 'Closing_Hour': '12:00 pm', 'Week': ['1', '2', '3', '4']}, {'Day': 'tuesday', 'Opening_Hour': '09:00 am', 'Closing_Hour': '12:00 pm', 'Week': ['1', '2', '3', '4']}, {'Day': 'thursday', 'Opening_Hour': '09:00 am', 'Closing_Hour': '12:00 pm', 'Week': ['1', '2', '3', '4']}, {'Day': 'friday', 'Opening_Hour': '09:00 am', 'Closing_Hour': '12:00 pm', 'Week': ['1', '2', '3', '4']}]</t>
  </si>
  <si>
    <t>2nd Thursday and 4th Friday at 9am</t>
  </si>
  <si>
    <t>every other Saturday 10-11am</t>
  </si>
  <si>
    <t>[{'Day': 'saturday', 'Opening_Hour': '10:00 am', 'Closing_Hour': '11:00 am', 'Week': ['1', '2', '3', '4']}]</t>
  </si>
  <si>
    <t>1st &amp; 3rd Saturday from 9a-12p</t>
  </si>
  <si>
    <t>4th Sat  9am-12pm quarterly ( Jan, April, July &amp; Oct)</t>
  </si>
  <si>
    <t>Fri 10:30 am to 12:30 pm</t>
  </si>
  <si>
    <t>[{'Day': 'friday', 'Opening_Hour': '10:30 am', 'Closing_Hour': '12:30 pm', 'Week': ['1', '2', '3', '4']}]</t>
  </si>
  <si>
    <t>every Friday 11am- run out; 1st 2nd &amp; 4th Tuesday 11- run out; 24/7 outdoor pavilion</t>
  </si>
  <si>
    <t>[{'Day': 'friday', 'Opening_Hour': '11:00 am', 'Closing_Hour': 'unknown', 'Week': ['1', '2', '4']}, {'Day': 'tuesday', 'Opening_Hour': '11:00 am', 'Closing_Hour': 'unknown', 'Week': ['1', '2', '4']}]</t>
  </si>
  <si>
    <t>Thursday and Friday 11am-2pm</t>
  </si>
  <si>
    <t>[{'Day': 'thursday', 'Opening_Hour': '11:00 am', 'Closing_Hour': '02:00 pm', 'Week': ['1', '2', '3', '4']}, {'Day': 'friday', 'Opening_Hour': '11:00 am', 'Closing_Hour': '02:00 pm', 'Week': ['1', '2', '3', '4']}]</t>
  </si>
  <si>
    <t>Tuesday 10-11am</t>
  </si>
  <si>
    <t>[{'Day': 'tuesday', 'Opening_Hour': '10:00 am', 'Closing_Hour': '11:00 am', 'Week': ['1', '2', '3', '4']}]</t>
  </si>
  <si>
    <t>June-Sept: 11am-1pm every third Thursday; October-May 1pm-3pm every third Thursday; also available on call for emergency food</t>
  </si>
  <si>
    <t>[{'Day': 'thursday', 'Opening_Hour': '11:00 am', 'Closing_Hour': '01:00 pm', 'Week': ['1', '2', '3', '4']}, {'Day': 'thursday', 'Opening_Hour': '01:00 pm', 'Closing_Hour': '03:00 pm', 'Week': ['1', '2', '3', '4']}]</t>
  </si>
  <si>
    <t>Every Tuesday (11am-2pm) and every Saturday (9am-12pm)</t>
  </si>
  <si>
    <t>[{'Day': 'tuesday', 'Opening_Hour': '11:00 am', 'Closing_Hour': '02:00 pm', 'Week': ['1', '2', '3', '4']}, {'Day': 'saturday', 'Opening_Hour': '09:00 am', 'Closing_Hour': '12:00 pm', 'Week': ['1', '2', '3', '4']}]</t>
  </si>
  <si>
    <t>3rd Friday 12:00 pm - 3:00 pm, &amp; as needed</t>
  </si>
  <si>
    <t>[{'Day': 'friday', 'Opening_Hour': '12:00 pm', 'Closing_Hour': '03:00 pm', 'Week': ['3']}]</t>
  </si>
  <si>
    <t>Tuesday's 12:30pm-2:30pm and 1st Saturday of September, December, March, and June 8-10:30am</t>
  </si>
  <si>
    <t>every Wednesday 1-2pm/1st, 4th, and 5th Sunday's 2-3pm</t>
  </si>
  <si>
    <t>[{'Day': 'wednesday', 'Opening_Hour': '01:00 pm', 'Closing_Hour': '02:00 pm', 'Week': ['1', '4', '5']}, {'Day': 'sunday', 'Opening_Hour': '02:00 pm', 'Closing_Hour': '03:00 pm', 'Week': ['1', '4', '5']}]</t>
  </si>
  <si>
    <t>1st &amp; 3rd Saturday 9am - 1pm</t>
  </si>
  <si>
    <t>[{'Day': 'saturday', 'Opening_Hour': '09:00 am', 'Closing_Hour': '01:00 pm', 'Week': ['1', '3']}]</t>
  </si>
  <si>
    <t>Wednesdays, 12pm - 1pm</t>
  </si>
  <si>
    <t>1st, 3rd &amp; 5th Sat 11:00 am-12:30 pm</t>
  </si>
  <si>
    <t>[{'Day': 'saturday', 'Opening_Hour': '11:00 am', 'Closing_Hour': '12:30 pm', 'Week': ['1', '3', '5']}]</t>
  </si>
  <si>
    <t>1st &amp; 3rd Saturday 10:30am-12pm</t>
  </si>
  <si>
    <t>[{'Day': 'saturday', 'Opening_Hour': '10:30 am', 'Closing_Hour': '12:00 pm', 'Week': ['1', '3']}]</t>
  </si>
  <si>
    <t>Tues &amp; Thurs 2pm-4pm, Sat 2pm-3pm</t>
  </si>
  <si>
    <t>[{'Day': 'tuesday', 'Opening_Hour': '02:00 pm', 'Closing_Hour': '04:00 pm', 'Week': ['1', '2', '3', '4']}, {'Day': 'thursday', 'Opening_Hour': '02:00 pm', 'Closing_Hour': '04:00 pm', 'Week': ['1', '2', '3', '4']}, {'Day': 'saturday', 'Opening_Hour': '02:00 pm', 'Closing_Hour': '03:00 pm', 'Week': ['1', '2', '3', '4']}]</t>
  </si>
  <si>
    <t>3rd Saturday 10am-12pm, every Sunday 1pm-2pm</t>
  </si>
  <si>
    <t>[{'Day': 'saturday', 'Opening_Hour': '10:00 am', 'Closing_Hour': '12:00 pm', 'Week': ['3']}, {'Day': 'sunday', 'Opening_Hour': '01:00 pm', 'Closing_Hour': '02:00 pm', 'Week': ['1', '2', '3', '4']}]</t>
  </si>
  <si>
    <t>Every other Mon 8am-12pm, 3rd Tue 12pm-2pm</t>
  </si>
  <si>
    <t>[{'Day': 'monday', 'Opening_Hour': '08:00 am', 'Closing_Hour': '12:00 pm', 'Week': ['1', '2', '3', '4']}, {'Day': 'tuesday', 'Opening_Hour': '12:00 pm', 'Closing_Hour': '02:00 pm', 'Week': ['3']}]</t>
  </si>
  <si>
    <t>1st and 3rd Sat 10 am- 12 pm</t>
  </si>
  <si>
    <t>Every Thursday 2-4pm; Every Saturday 12-2; Every Sunday as needed from 1:30pm-2:30pm</t>
  </si>
  <si>
    <t>[{'Day': 'thursday', 'Opening_Hour': '02:00 pm', 'Closing_Hour': '04:00 pm', 'Week': ['1', '2', '3', '4']}, {'Day': 'saturday', 'Opening_Hour': '12:00 pm', 'Closing_Hour': '02:00 pm', 'Week': ['1', '2', '3', '4']}, {'Day': 'sunday', 'Opening_Hour': '01:30 pm', 'Closing_Hour': '02:30 pm', 'Week': ['1', '2', '3', '4']}]</t>
  </si>
  <si>
    <t>Tuesday after the first and third Sunday from 2-4pm and Sundays at 12pm</t>
  </si>
  <si>
    <t>[{'Day': 'tuesday', 'Opening_Hour': '02:00 pm', 'Closing_Hour': '04:00 pm', 'Week': ['1', '2', '3', '4']}, {'Day': 'sunday', 'Opening_Hour': '02:00 pm', 'Closing_Hour': '04:00 pm', 'Week': ['1', '2', '3', '4']}, {'Day': 'sunday', 'Opening_Hour': '12:00 pm', 'Closing_Hour': 'unknown', 'Week': ['1', '2', '3', '4']}]</t>
  </si>
  <si>
    <t>Thursday's 3pm-5pm; Saturday before 4th Sunday 8am-11am</t>
  </si>
  <si>
    <t>Monday - Wednesday 3:45pm - 4:30pm</t>
  </si>
  <si>
    <t>[{'Day': 'monday', 'Opening_Hour': '03:45 pm', 'Closing_Hour': '04:30 pm', 'Week': ['1', '2', '3', '4']}, {'Day': 'tuesday', 'Opening_Hour': '03:45 pm', 'Closing_Hour': '04:30 pm', 'Week': ['1', '2', '3', '4']}, {'Day': 'wednesday', 'Opening_Hour': '03:45 pm', 'Closing_Hour': '04:30 pm', 'Week': ['1', '2', '3', '4']}, {'Day': 'thursday', 'Opening_Hour': '03:45 pm', 'Closing_Hour': '04:30 pm', 'Week': ['1', '2', '3', '4']}, {'Day': 'friday', 'Opening_Hour': '03:45 pm', 'Closing_Hour': '04:30 pm', 'Week': ['1', '2', '3', '4']}, {'Day': 'saturday', 'Opening_Hour': '03:45 pm', 'Closing_Hour': '04:30 pm', 'Week': ['1', '2', '3', '4']}, {'Day': 'sunday', 'Opening_Hour': '03:45 pm', 'Closing_Hour': '04:30 pm', 'Week': ['1', '2', '3', '4']}]</t>
  </si>
  <si>
    <t>1st &amp; 3rd Saturday 12pm-2pm</t>
  </si>
  <si>
    <t>[{'Day': 'saturday', 'Opening_Hour': '12:00 pm', 'Closing_Hour': '02:00 pm', 'Week': ['1', '3']}]</t>
  </si>
  <si>
    <t>4th Wednesday 10am and also by emergency</t>
  </si>
  <si>
    <t>[{'Day': 'wednesday', 'Opening_Hour': '10:00 am', 'Closing_Hour': 'unknown', 'Week': ['4']}]</t>
  </si>
  <si>
    <t>Tuesday and Friday: 9 am to 1 pm &amp; Emergencies 2 pm to 5 pm</t>
  </si>
  <si>
    <t>[{'Day': 'tuesday', 'Opening_Hour': '09:00 am', 'Closing_Hour': '01:00 pm', 'Week': ['1', '2', '3', '4']}, {'Day': 'friday', 'Opening_Hour': '09:00 am', 'Closing_Hour': '01:00 pm', 'Week': ['1', '2', '3', '4']}]</t>
  </si>
  <si>
    <t>Monday-Friday 10am-2pm and also by appointment</t>
  </si>
  <si>
    <t>[{'Day': 'monday', 'Opening_Hour': '10:00 am', 'Closing_Hour': '02:00 pm', 'Week': ['1', '2', '3', '4']}, {'Day': 'tuesday', 'Opening_Hour': '10:00 am', 'Closing_Hour': '02:00 pm', 'Week': ['1', '2', '3', '4']}, {'Day': 'wednesday', 'Opening_Hour': '10:00 am', 'Closing_Hour': '02:00 pm', 'Week': ['1', '2', '3', '4']}, {'Day': 'thursday', 'Opening_Hour': '10:00 am', 'Closing_Hour': '02:00 pm', 'Week': ['1', '2', '3', '4']}, {'Day': 'friday', 'Opening_Hour': '10:00 am', 'Closing_Hour': '02:00 pm', 'Week': ['1', '2', '3', '4']}]</t>
  </si>
  <si>
    <t>Sat 11am-12pm</t>
  </si>
  <si>
    <t>[{'Day': 'saturday', 'Opening_Hour': '11:00 am', 'Closing_Hour': '12:00 pm', 'Week': ['1', '2', '3', '4']}, {'Day': 'sunday', 'Opening_Hour': '11:00 am', 'Closing_Hour': '12:00 pm', 'Week': ['1', '2', '3', '4']}, {'Day': 'monday', 'Opening_Hour': '11:00 am', 'Closing_Hour': '12:00 pm', 'Week': ['1', '2', '3', '4']}, {'Day': 'tuesday', 'Opening_Hour': '11:00 am', 'Closing_Hour': '12:00 pm', 'Week': ['1', '2', '3', '4']}, {'Day': 'wednesday', 'Opening_Hour': '11:00 am', 'Closing_Hour': '12:00 pm', 'Week': ['1', '2', '3', '4']}, {'Day': 'thursday', 'Opening_Hour': '11:00 am', 'Closing_Hour': '12:00 pm', 'Week': ['1', '2', '3', '4']}, {'Day': 'friday', 'Opening_Hour': '11:00 am', 'Closing_Hour': '12:00 pm', 'Week': ['1', '2', '3', '4']}]</t>
  </si>
  <si>
    <t>Sundays 12:30pm and 3rd Saturday 12pm</t>
  </si>
  <si>
    <t>[{'Day': 'sunday', 'Opening_Hour': '12:30 pm', 'Closing_Hour': 'unknown', 'Week': ['1', '2', '3', '4']}, {'Day': 'saturday', 'Opening_Hour': '12:00 pm', 'Closing_Hour': 'unknown', 'Week': ['3']}]</t>
  </si>
  <si>
    <t>4th Sunday's at 3pm, 3rd Wednesday's at 2pm</t>
  </si>
  <si>
    <t>[{'Day': 'sunday', 'Opening_Hour': '03:00 pm', 'Closing_Hour': 'unknown', 'Week': ['4']}, {'Day': 'wednesday', 'Opening_Hour': '02:00 pm', 'Closing_Hour': 'unknown', 'Week': ['3']}]</t>
  </si>
  <si>
    <t>Thursdays 4:30- 6:30 pm</t>
  </si>
  <si>
    <t>[{'Day': 'thursday', 'Opening_Hour': '04:30 pm', 'Closing_Hour': '06:30 pm', 'Week': ['1', '2', '3', '4']}]</t>
  </si>
  <si>
    <t>3rd Saturday 9am-12pm</t>
  </si>
  <si>
    <t>[{'Day': 'saturday', 'Opening_Hour': '09:00 am', 'Closing_Hour': '12:00 pm', 'Week': ['3']}]</t>
  </si>
  <si>
    <t>2nd &amp; 4th Thursday 9am-12pm</t>
  </si>
  <si>
    <t>[{'Day': 'thursday', 'Opening_Hour': '09:00 am', 'Closing_Hour': '12:00 pm', 'Week': ['2', '4']}]</t>
  </si>
  <si>
    <t>Every Monday and Wednesday 3:30pm-5:30pm</t>
  </si>
  <si>
    <t>1st &amp; 3rd Thursday's 9-10:30am; 1st Saturday 9-10:30am</t>
  </si>
  <si>
    <t>[{'Day': 'thursday', 'Opening_Hour': '09:00 am', 'Closing_Hour': '10:30 am', 'Week': ['1', '3']}, {'Day': 'saturday', 'Opening_Hour': '09:00 am', 'Closing_Hour': '10:30 am', 'Week': ['1']}]</t>
  </si>
  <si>
    <t>Mon &amp; Tue 1pm -3pm, W 10am -12pm, 4th Sat 10am -12pm</t>
  </si>
  <si>
    <t>[{'Day': 'monday', 'Opening_Hour': '01:00 pm', 'Closing_Hour': '03:00 pm', 'Week': ['1', '2', '3', '4']}, {'Day': 'tuesday', 'Opening_Hour': '01:00 pm', 'Closing_Hour': '03:00 pm', 'Week': ['1', '2', '3', '4']}, {'Day': 'wednesday', 'Opening_Hour': '10:00 am', 'Closing_Hour': '12:00 pm', 'Week': ['1', '2', '3', '4']}, {'Day': 'saturday', 'Opening_Hour': '10:00 am', 'Closing_Hour': '12:00 pm', 'Week': ['1', '2', '3', '4']}, {'Day': 'saturday', 'Opening_Hour': '10:00 am', 'Closing_Hour': '12:00 pm', 'Week': ['1', '2', '3', '4']}]</t>
  </si>
  <si>
    <t>Saturdays 10-12</t>
  </si>
  <si>
    <t>Saturdays 8am-12pm</t>
  </si>
  <si>
    <t>1st &amp; 3rd Friday 10am-12pm</t>
  </si>
  <si>
    <t>[{'Day': 'friday', 'Opening_Hour': '10:00 am', 'Closing_Hour': '12:00 pm', 'Week': ['1', '3']}]</t>
  </si>
  <si>
    <t>2nd &amp; 4th Friday's 4-6:30pm</t>
  </si>
  <si>
    <t>[{'Day': 'friday', 'Opening_Hour': '04:00 pm', 'Closing_Hour': '06:30 pm', 'Week': ['2', '4']}]</t>
  </si>
  <si>
    <t>Every Friday 5pm-7pm; 2nd &amp; 4th Tuesday's 12pm-2pm delivery to Bunn Manor Apartments</t>
  </si>
  <si>
    <t>[{'Day': 'friday', 'Opening_Hour': '05:00 pm', 'Closing_Hour': '07:00 pm', 'Week': ['1', '2', '3', '4']}, {'Day': 'tuesday', 'Opening_Hour': '12:00 pm', 'Closing_Hour': '02:00 pm', 'Week': ['2', '4']}]</t>
  </si>
  <si>
    <t>Monday 10 AM-12 PM and Friday 10 AM- 12 PM</t>
  </si>
  <si>
    <t>[{'Day': 'monday', 'Opening_Hour': '10:00 am', 'Closing_Hour': '12:00 pm', 'Week': ['1', '2', '3', '4']}, {'Day': 'friday', 'Opening_Hour': '10:00 am', 'Closing_Hour': '12:00 pm', 'Week': ['1', '2', '3', '4']}]</t>
  </si>
  <si>
    <t>3rd and 4th Friday 9:30am  3rd Wed. TEFAP at 11am</t>
  </si>
  <si>
    <t>[{'Day': 'friday', 'Opening_Hour': '09:30 am', 'Closing_Hour': 'unknown', 'Week': ['3', '4']}, {'Day': 'wednesday', 'Opening_Hour': '11:00 am', 'Closing_Hour': 'unknown', 'Week': ['3']}]</t>
  </si>
  <si>
    <t>1st and 3rd  Saturdays 8:00-9:30am</t>
  </si>
  <si>
    <t>[{'Day': 'saturday', 'Opening_Hour': '08:00 am', 'Closing_Hour': '09:30 am', 'Week': ['1', '3']}]</t>
  </si>
  <si>
    <t>Saturdays 8:00-10:00am</t>
  </si>
  <si>
    <t>[{'Day': 'saturday', 'Opening_Hour': '08:00 am', 'Closing_Hour': '10:00 am', 'Week': ['1', '2', '3', '4']}]</t>
  </si>
  <si>
    <t>Wednesdays 9:30am-12:30pm</t>
  </si>
  <si>
    <t>[{'Day': 'wednesday', 'Opening_Hour': '09:30 am', 'Closing_Hour': '12:30 pm', 'Week': ['1', '2', '3', '4']}]</t>
  </si>
  <si>
    <t>Mon., Wed., and Fri., 8:30am-12:00pm</t>
  </si>
  <si>
    <t>[{'Day': 'monday', 'Opening_Hour': '08:30 am', 'Closing_Hour': '12:00 pm', 'Week': ['1', '2', '3', '4']}, {'Day': 'wednesday', 'Opening_Hour': '08:30 am', 'Closing_Hour': '12:00 pm', 'Week': ['1', '2', '3', '4']}, {'Day': 'friday', 'Opening_Hour': '08:30 am', 'Closing_Hour': '12:00 pm', 'Week': ['1', '2', '3', '4']}]</t>
  </si>
  <si>
    <t>2nd and 4th Sat. 10 AM-11 AM</t>
  </si>
  <si>
    <t>[{'Day': 'saturday', 'Opening_Hour': '10:00 am', 'Closing_Hour': '11:00 am', 'Week': ['2', '4']}]</t>
  </si>
  <si>
    <t>Fridays at 1pm (direct distribution) &amp; Saturdays at 10:30am-1:30 PM</t>
  </si>
  <si>
    <t>[{'Day': 'friday', 'Opening_Hour': '01:00 pm', 'Closing_Hour': 'unknown', 'Week': ['1', '2', '3', '4']}, {'Day': 'saturday', 'Opening_Hour': '10:30 am', 'Closing_Hour': '01:30 pm', 'Week': ['1', '2', '3', '4']}]</t>
  </si>
  <si>
    <t>Tues 5:45PM- 7PM dinner; 1st, 2nd, 3rd Sundays 9 AM breakfast delivery to seniors only and breakfast available to the community at the church</t>
  </si>
  <si>
    <t>[{'Day': 'tuesday', 'Opening_Hour': '05:45 pm', 'Closing_Hour': '07:00 pm', 'Week': ['1', '2', '3']}, {'Day': 'sunday', 'Opening_Hour': '09:00 am', 'Closing_Hour': 'unknown', 'Week': ['1', '2', '3']}]</t>
  </si>
  <si>
    <t>Every Thursday 12-3pm</t>
  </si>
  <si>
    <t>[{'Day': 'thursday', 'Opening_Hour': '12:00 pm', 'Closing_Hour': '03:00 pm', 'Week': ['1', '2', '3', '4']}]</t>
  </si>
  <si>
    <t>Second &amp; Fourth Saturday of each month; 7:00 a.m. - 8:30 a.m.</t>
  </si>
  <si>
    <t>[{'Day': 'saturday', 'Opening_Hour': '07:00 am', 'Closing_Hour': '08:30 am', 'Week': ['2', '4']}]</t>
  </si>
  <si>
    <t>Thursday 11-2pm Tuesday (for unhoused only) and Sunday at 3 PM (for unhoused only)</t>
  </si>
  <si>
    <t>[{'Day': 'thursday', 'Opening_Hour': '11:00 am', 'Closing_Hour': '02:00 pm', 'Week': ['1', '2', '3', '4']}, {'Day': 'tuesday', 'Opening_Hour': '11:00 am', 'Closing_Hour': '02:00 pm', 'Week': ['1', '2', '3', '4']}, {'Day': 'sunday', 'Opening_Hour': '11:00 am', 'Closing_Hour': '02:00 pm', 'Week': ['1', '2', '3', '4']}]</t>
  </si>
  <si>
    <t>Tuesdays 12pm</t>
  </si>
  <si>
    <t>[{'Day': 'tuesday', 'Opening_Hour': '12:00 pm', 'Closing_Hour': 'unknown', 'Week': ['1', '2', '3', '4']}, {'Day': 'wednesday', 'Opening_Hour': '12:00 pm', 'Closing_Hour': 'unknown', 'Week': ['1', '2', '3', '4']}, {'Day': 'thursday', 'Opening_Hour': '12:00 pm', 'Closing_Hour': 'unknown', 'Week': ['1', '2', '3', '4']}, {'Day': 'friday', 'Opening_Hour': '12:00 pm', 'Closing_Hour': 'unknown', 'Week': ['1', '2', '3', '4']}, {'Day': 'saturday', 'Opening_Hour': '12:00 pm', 'Closing_Hour': 'unknown', 'Week': ['1', '2', '3', '4']}, {'Day': 'sunday', 'Opening_Hour': '12:00 pm', 'Closing_Hour': 'unknown', 'Week': ['1', '2', '3', '4']}]</t>
  </si>
  <si>
    <t>Tuesdays 2-3pm</t>
  </si>
  <si>
    <t>[{'Day': 'tuesday', 'Opening_Hour': '02:00 pm', 'Closing_Hour': '03:00 pm', 'Week': ['1', '2', '3', '4']}]</t>
  </si>
  <si>
    <t>every Saturday 7:30a-9:30a</t>
  </si>
  <si>
    <t>[{'Day': 'saturday', 'Opening_Hour': '07:30 am', 'Closing_Hour': '09:30 am', 'Week': ['1', '2', '3', '4']}]</t>
  </si>
  <si>
    <t>2nd and 4th Saturday 11am-12pm</t>
  </si>
  <si>
    <t>[{'Day': 'saturday', 'Opening_Hour': '11:00 am', 'Closing_Hour': '12:00 pm', 'Week': ['2', '4']}]</t>
  </si>
  <si>
    <t>1st Wednesday of the mon. 3pm-until  Every Mon-Thurs. 10am-11:30am fresh produce distribution</t>
  </si>
  <si>
    <t>[{'Day': 'wednesday', 'Opening_Hour': '03:00 pm', 'Closing_Hour': 'unknown', 'Week': ['1']}, {'Day': 'monday', 'Opening_Hour': '10:00 am', 'Closing_Hour': '11:30 am', 'Week': ['1', '2', '3', '4']}, {'Day': 'tuesday', 'Opening_Hour': '10:00 am', 'Closing_Hour': '11:30 am', 'Week': ['1', '2', '3', '4']}, {'Day': 'wednesday', 'Opening_Hour': '10:00 am', 'Closing_Hour': '11:30 am', 'Week': ['1', '2', '3', '4']}, {'Day': 'thursday', 'Opening_Hour': '10:00 am', 'Closing_Hour': '11:30 am', 'Week': ['1', '2', '3', '4']}]</t>
  </si>
  <si>
    <t>Tuesday/Wednesday/Thursday-9:30am-12:30pm</t>
  </si>
  <si>
    <t>[{'Day': 'tuesday', 'Opening_Hour': '09:30 am', 'Closing_Hour': '12:30 pm', 'Week': ['1', '2', '3', '4']}, {'Day': 'wednesday', 'Opening_Hour': '09:30 am', 'Closing_Hour': '12:30 pm', 'Week': ['1', '2', '3', '4']}, {'Day': 'thursday', 'Opening_Hour': '09:30 am', 'Closing_Hour': '12:30 pm', 'Week': ['1', '2', '3', '4']}]</t>
  </si>
  <si>
    <t>bi-weekly Thurs 3-4pm</t>
  </si>
  <si>
    <t>[{'Day': 'thursday', 'Opening_Hour': '03:00 pm', 'Closing_Hour': '04:00 pm', 'Week': ['1', '2', '3', '4']}]</t>
  </si>
  <si>
    <t>Third Saturday of each month 8:00-9:30a.m. M-F Emergency Asst. by appointment</t>
  </si>
  <si>
    <t>[{'Day': 'saturday', 'Opening_Hour': '08:00 am', 'Closing_Hour': '09:30 am', 'Week': ['3']}]</t>
  </si>
  <si>
    <t>2nd and 4th Wed 10 AM- 12 PM</t>
  </si>
  <si>
    <t>[{'Day': 'wednesday', 'Opening_Hour': '10:00 am', 'Closing_Hour': '12:00 pm', 'Week': ['2', '4']}]</t>
  </si>
  <si>
    <t>Monday Tuesday  Friday 8:30am-11am</t>
  </si>
  <si>
    <t>[{'Day': 'monday', 'Opening_Hour': '08:30 am', 'Closing_Hour': '11:00 am', 'Week': ['1', '2', '3', '4']}, {'Day': 'tuesday', 'Opening_Hour': '08:30 am', 'Closing_Hour': '11:00 am', 'Week': ['1', '2', '3', '4']}, {'Day': 'friday', 'Opening_Hour': '08:30 am', 'Closing_Hour': '11:00 am', 'Week': ['1', '2', '3', '4']}]</t>
  </si>
  <si>
    <t>1st and 3rd Sat  8am-10am</t>
  </si>
  <si>
    <t>[{'Day': 'saturday', 'Opening_Hour': '08:00 am', 'Closing_Hour': '10:00 am', 'Week': ['1', '3']}]</t>
  </si>
  <si>
    <t>2nd and Fourth Saturday 9am-12pm 1st and 3rd Friday 2-4pm</t>
  </si>
  <si>
    <t>[{'Day': 'saturday', 'Opening_Hour': '09:00 am', 'Closing_Hour': '12:00 pm', 'Week': ['2', '4']}, {'Day': 'friday', 'Opening_Hour': '02:00 pm', 'Closing_Hour': '04:00 pm', 'Week': ['1', '3']}]</t>
  </si>
  <si>
    <t>Mon-Thurs. 9 AM-12 PM and 1 PM- 4PM</t>
  </si>
  <si>
    <t>[{'Day': 'monday', 'Opening_Hour': '09:00 am', 'Closing_Hour': '12:00 pm', 'Week': ['1', '2', '3', '4']}, {'Day': 'tuesday', 'Opening_Hour': '09:00 am', 'Closing_Hour': '12:00 pm', 'Week': ['1', '2', '3', '4']}, {'Day': 'wednesday', 'Opening_Hour': '09:00 am', 'Closing_Hour': '12:00 pm', 'Week': ['1', '2', '3', '4']}, {'Day': 'thursday', 'Opening_Hour': '09:00 am', 'Closing_Hour': '12:00 pm', 'Week': ['1', '2', '3', '4']}]</t>
  </si>
  <si>
    <t>M-F 8 AM-11 AM by appointment only</t>
  </si>
  <si>
    <t>[{'Day': 'monday', 'Opening_Hour': '08:00 am', 'Closing_Hour': '11:00 am', 'Week': ['1', '2', '3', '4']}, {'Day': 'tuesday', 'Opening_Hour': '08:00 am', 'Closing_Hour': '11:00 am', 'Week': ['1', '2', '3', '4']}, {'Day': 'wednesday', 'Opening_Hour': '08:00 am', 'Closing_Hour': '11:00 am', 'Week': ['1', '2', '3', '4']}, {'Day': 'thursday', 'Opening_Hour': '08:00 am', 'Closing_Hour': '11:00 am', 'Week': ['1', '2', '3', '4']}, {'Day': 'friday', 'Opening_Hour': '08:00 am', 'Closing_Hour': '11:00 am', 'Week': ['1', '2', '3', '4']}]</t>
  </si>
  <si>
    <t>2nd Thursday 9am-12pm</t>
  </si>
  <si>
    <t>[{'Day': 'thursday', 'Opening_Hour': '09:00 am', 'Closing_Hour': '12:00 pm', 'Week': ['2']}]</t>
  </si>
  <si>
    <t>Thursdays 10am-12pm</t>
  </si>
  <si>
    <t>[{'Day': 'thursday', 'Opening_Hour': '10:00 am', 'Closing_Hour': '12:00 pm', 'Week': ['1', '2', '3', '4']}]</t>
  </si>
  <si>
    <t>every Monday 10-11:30 AM</t>
  </si>
  <si>
    <t>[{'Day': 'monday', 'Opening_Hour': '10:00 am', 'Closing_Hour': '11:30 am', 'Week': ['1', '2', '3', '4']}]</t>
  </si>
  <si>
    <t>Tues and Thurs. 10 AM to 1 PM</t>
  </si>
  <si>
    <t>2nd and 4th Wed. 9 AM-11 AM</t>
  </si>
  <si>
    <t>[{'Day': 'wednesday', 'Opening_Hour': '09:00 am', 'Closing_Hour': '11:00 am', 'Week': ['2', '4']}]</t>
  </si>
  <si>
    <t>3rd Saturday 8:30-9:30am Wed. 1-3pm</t>
  </si>
  <si>
    <t>[{'Day': 'saturday', 'Opening_Hour': '08:30 am', 'Closing_Hour': '09:30 am', 'Week': ['3']}, {'Day': 'wednesday', 'Opening_Hour': '01:00 pm', 'Closing_Hour': '03:00 pm', 'Week': ['1', '2', '3', '4']}]</t>
  </si>
  <si>
    <t>3rd Sat. 9 AM-11:30 AM and Wednesdays 1 PM</t>
  </si>
  <si>
    <t>[{'Day': 'saturday', 'Opening_Hour': '09:00 am', 'Closing_Hour': '11:30 am', 'Week': ['3']}, {'Day': 'wednesday', 'Opening_Hour': '01:00 pm', 'Closing_Hour': 'unknown', 'Week': ['1', '2', '3', '4']}]</t>
  </si>
  <si>
    <t>Tuesdays and Wednesdays 11:30am - 2pm</t>
  </si>
  <si>
    <t>[{'Day': 'tuesday', 'Opening_Hour': '11:30 am', 'Closing_Hour': '02:00 pm', 'Week': ['1', '2', '3', '4']}, {'Day': 'wednesday', 'Opening_Hour': '11:30 am', 'Closing_Hour': '02:00 pm', 'Week': ['1', '2', '3', '4']}]</t>
  </si>
  <si>
    <t>1st &amp; 3rd Tuesday 10am-12pm</t>
  </si>
  <si>
    <t>[{'Day': 'tuesday', 'Opening_Hour': '10:00 am', 'Closing_Hour': '12:00 pm', 'Week': ['1', '3']}]</t>
  </si>
  <si>
    <t>EveryTuesday 6:00pm-8:30pm</t>
  </si>
  <si>
    <t>Every Other Wednesday 8-10:30 am</t>
  </si>
  <si>
    <t>[{'Day': 'wednesday', 'Opening_Hour': '08:00 am', 'Closing_Hour': '10:30 am', 'Week': ['1', '2', '3', '4']}]</t>
  </si>
  <si>
    <t>2nd and 4th Tues. 10:30 AM- 11:30 AM</t>
  </si>
  <si>
    <t>[{'Day': 'tuesday', 'Opening_Hour': '10:30 am', 'Closing_Hour': '11:30 am', 'Week': ['2', '4']}]</t>
  </si>
  <si>
    <t>Monday-Friday 9 am-5 pm</t>
  </si>
  <si>
    <t>Monday and Wednesdays 10am-2pm</t>
  </si>
  <si>
    <t>[{'Day': 'monday', 'Opening_Hour': '10:00 am', 'Closing_Hour': '02:00 pm', 'Week': ['1', '2', '3', '4']}, {'Day': 'wednesday', 'Opening_Hour': '10:00 am', 'Closing_Hour': '02:00 pm', 'Week': ['1', '2', '3', '4']}]</t>
  </si>
  <si>
    <t>Mon-Friday 10 am- 3 pm emergency asst. and food distributions</t>
  </si>
  <si>
    <t>[{'Day': 'monday', 'Opening_Hour': '10:00 am', 'Closing_Hour': '03:00 pm', 'Week': ['1', '2', '3', '4']}, {'Day': 'tuesday', 'Opening_Hour': '10:00 am', 'Closing_Hour': '03:00 pm', 'Week': ['1', '2', '3', '4']}, {'Day': 'wednesday', 'Opening_Hour': '10:00 am', 'Closing_Hour': '03:00 pm', 'Week': ['1', '2', '3', '4']}, {'Day': 'thursday', 'Opening_Hour': '10:00 am', 'Closing_Hour': '03:00 pm', 'Week': ['1', '2', '3', '4']}, {'Day': 'friday', 'Opening_Hour': '10:00 am', 'Closing_Hour': '03:00 pm', 'Week': ['1', '2', '3', '4']}]</t>
  </si>
  <si>
    <t>TEFAP 4th Fri 8-10am and 4th Saturday, by appointment</t>
  </si>
  <si>
    <t>[{'Day': 'friday', 'Opening_Hour': '08:00 am', 'Closing_Hour': '10:00 am', 'Week': ['4']}, {'Day': 'saturday', 'Opening_Hour': 'unknown', 'Closing_Hour': 'unknown', 'Week': ['4']}]</t>
  </si>
  <si>
    <t>Serves adults ages 60 and older 1st Tuesday 10am-12pm / 2nd, 3rd &amp; 4th Friday 10am-12pm</t>
  </si>
  <si>
    <t>[{'Day': 'tuesday', 'Opening_Hour': '10:00 am', 'Closing_Hour': '12:00 pm', 'Week': ['1']}, {'Day': 'friday', 'Opening_Hour': '10:00 am', 'Closing_Hour': '12:00 pm', 'Week': ['2', '3', '4']}]</t>
  </si>
  <si>
    <t>Monday, Tuesday, &amp; Thursday 9am-12pm &amp;1-4pm, Wednesdays 1-4pm, Friday 9am-12pm &amp;1-2:30pm</t>
  </si>
  <si>
    <t>[{'Day': 'monday', 'Opening_Hour': '09:00 am', 'Closing_Hour': '12:00 pm', 'Week': ['1', '2', '3', '4']}, {'Day': 'tuesday', 'Opening_Hour': '09:00 am', 'Closing_Hour': '12:00 pm', 'Week': ['1', '2', '3', '4']}, {'Day': 'thursday', 'Opening_Hour': '09:00 am', 'Closing_Hour': '12:00 pm', 'Week': ['1', '2', '3', '4']}, {'Day': 'wednesday', 'Opening_Hour': '01:00 pm', 'Closing_Hour': '04:00 pm', 'Week': ['1', '2', '3', '4']}, {'Day': 'friday', 'Opening_Hour': '09:00 am', 'Closing_Hour': '12:00 pm', 'Week': ['1', '2', '3', '4']}]</t>
  </si>
  <si>
    <t>Monday, Tuesday, Wednesday &amp; Thursday 9am-12pm &amp; 1-4pm &amp; Friday 9am-12pm &amp; 1-2:30pm</t>
  </si>
  <si>
    <t>[{'Day': 'monday', 'Opening_Hour': '09:00 am', 'Closing_Hour': '12:00 pm', 'Week': ['1', '2', '3', '4']}, {'Day': 'tuesday', 'Opening_Hour': '09:00 am', 'Closing_Hour': '12:00 pm', 'Week': ['1', '2', '3', '4']}, {'Day': 'wednesday', 'Opening_Hour': '09:00 am', 'Closing_Hour': '12:00 pm', 'Week': ['1', '2', '3', '4']}, {'Day': 'thursday', 'Opening_Hour': '09:00 am', 'Closing_Hour': '12:00 pm', 'Week': ['1', '2', '3', '4']}, {'Day': 'friday', 'Opening_Hour': '09:00 am', 'Closing_Hour': '12:00 pm', 'Week': ['1', '2', '3', '4']}]</t>
  </si>
  <si>
    <t>1st &amp; 3rd Tuesday 8-11am</t>
  </si>
  <si>
    <t>[{'Day': 'tuesday', 'Opening_Hour': '08:00 am', 'Closing_Hour': '11:00 am', 'Week': ['1', '3']}]</t>
  </si>
  <si>
    <t>Monday, Wednesday &amp; Friday 11am-12pm</t>
  </si>
  <si>
    <t>[{'Day': 'monday', 'Opening_Hour': '11:00 am', 'Closing_Hour': '12:00 pm', 'Week': ['1', '2', '3', '4']}, {'Day': 'wednesday', 'Opening_Hour': '11:00 am', 'Closing_Hour': '12:00 pm', 'Week': ['1', '2', '3', '4']}, {'Day': 'friday', 'Opening_Hour': '11:00 am', 'Closing_Hour': '12:00 pm', 'Week': ['1', '2', '3', '4']}]</t>
  </si>
  <si>
    <t>Tuesdays and Fridays 9-11:30am</t>
  </si>
  <si>
    <t>[{'Day': 'tuesday', 'Opening_Hour': '09:00 am', 'Closing_Hour': '11:30 am', 'Week': ['1', '2', '3', '4']}, {'Day': 'friday', 'Opening_Hour': '09:00 am', 'Closing_Hour': '11:30 am', 'Week': ['1', '2', '3', '4']}]</t>
  </si>
  <si>
    <t>Mondays by appointment, Wednesdays at 11am, &amp; 3rd Friday at 10am (while supplies last)</t>
  </si>
  <si>
    <t>[{'Day': 'monday', 'Opening_Hour': 'unknown', 'Closing_Hour': 'unknown', 'Week': ['1', '2', '3', '4']}, {'Day': 'wednesday', 'Opening_Hour': '11:00 am', 'Closing_Hour': 'unknown', 'Week': ['1', '2', '3', '4']}, {'Day': 'friday', 'Opening_Hour': '10:00 am', 'Closing_Hour': 'unknown', 'Week': ['3']}]</t>
  </si>
  <si>
    <t>Saturdays 2-4pm</t>
  </si>
  <si>
    <t>[{'Day': 'saturday', 'Opening_Hour': '02:00 pm', 'Closing_Hour': '04:00 pm', 'Week': ['1', '2', '3', '4']}]</t>
  </si>
  <si>
    <t>Thursday 5:30-6:30pm Martha Kitchen's On the Go Fridays 10am-12pm</t>
  </si>
  <si>
    <t>4th Saturday 9-10am</t>
  </si>
  <si>
    <t>[{'Day': 'saturday', 'Opening_Hour': '09:00 am', 'Closing_Hour': '10:00 am', 'Week': ['4']}]</t>
  </si>
  <si>
    <t>1st and 3rd Saturday of month 10am-12pm</t>
  </si>
  <si>
    <t>Mondays 10am-12pm, Wednesday 10am-12pm &amp; Saturday 10am-1pm</t>
  </si>
  <si>
    <t>[{'Day': 'monday', 'Opening_Hour': '10:00 am', 'Closing_Hour': '12:00 pm', 'Week': ['1', '2', '3', '4']}, {'Day': 'wednesday', 'Opening_Hour': '10:00 am', 'Closing_Hour': '12:00 pm', 'Week': ['1', '2', '3', '4']}, {'Day': 'saturday', 'Opening_Hour': '10:00 am', 'Closing_Hour': '01:00 pm', 'Week': ['1', '2', '3', '4']}]</t>
  </si>
  <si>
    <t>Shelter 24/7</t>
  </si>
  <si>
    <t>[{'Day': 'monday', 'Opening_Hour': 'unknown', 'Closing_Hour': 'unknown', 'Week': ['1', '2', '3', '4']}, {'Day': 'tuesday', 'Opening_Hour': 'unknown', 'Closing_Hour': 'unknown', 'Week': ['1', '2', '3', '4']}, {'Day': 'wednesday', 'Opening_Hour': 'unknown', 'Closing_Hour': 'unknown', 'Week': ['1', '2', '3', '4']}, {'Day': 'thursday', 'Opening_Hour': 'unknown', 'Closing_Hour': 'unknown', 'Week': ['1', '2', '3', '4']}, {'Day': 'friday', 'Opening_Hour': 'unknown', 'Closing_Hour': 'unknown', 'Week': ['1', '2', '3', '4']}, {'Day': 'saturday', 'Opening_Hour': 'unknown', 'Closing_Hour': 'unknown', 'Week': ['1', '2', '3', '4']}, {'Day': 'sunday', 'Opening_Hour': 'unknown', 'Closing_Hour': 'unknown', 'Week': ['1', '2', '3', '4']}]</t>
  </si>
  <si>
    <t>Wednesdays 12-1pm</t>
  </si>
  <si>
    <t>Monday-Friday 11am-12pm</t>
  </si>
  <si>
    <t>Every other Thursday (call for schedule)  9-11</t>
  </si>
  <si>
    <t>1st and 3rd Saturday 10am-12pm</t>
  </si>
  <si>
    <t>Thursdays 11am-1pm</t>
  </si>
  <si>
    <t>[{'Day': 'thursday', 'Opening_Hour': '11:00 am', 'Closing_Hour': '01:00 pm', 'Week': ['1', '2', '3', '4']}]</t>
  </si>
  <si>
    <t>Wednesdays 8:30am-9:30am</t>
  </si>
  <si>
    <t>[{'Day': 'wednesday', 'Opening_Hour': '08:30 am', 'Closing_Hour': '09:30 am', 'Week': ['1', '2', '3', '4']}]</t>
  </si>
  <si>
    <t>Wednesdays 10am-12pm while supplies last</t>
  </si>
  <si>
    <t>First and Second Thursday 2pm-5pm</t>
  </si>
  <si>
    <t>Mon -Sun 11am-1pm</t>
  </si>
  <si>
    <t>[{'Day': 'monday', 'Opening_Hour': '11:00 am', 'Closing_Hour': '01:00 pm', 'Week': ['1', '2', '3', '4']}, {'Day': 'sunday', 'Opening_Hour': '11:00 am', 'Closing_Hour': '01:00 pm', 'Week': ['1', '2', '3', '4']}]</t>
  </si>
  <si>
    <t>Monday, Tuesday, Wednesday &amp; Friday 10:30am-12:30pm &amp; 1st &amp; 3rd Thursday 12-2pm &amp; 2nd &amp; 4th Thursday 5-7pm</t>
  </si>
  <si>
    <t>[{'Day': 'monday', 'Opening_Hour': '10:30 am', 'Closing_Hour': '12:30 pm', 'Week': ['1', '2', '3', '4']}, {'Day': 'tuesday', 'Opening_Hour': '10:30 am', 'Closing_Hour': '12:30 pm', 'Week': ['1', '2', '3', '4']}, {'Day': 'wednesday', 'Opening_Hour': '10:30 am', 'Closing_Hour': '12:30 pm', 'Week': ['1', '2', '3', '4']}, {'Day': 'friday', 'Opening_Hour': '10:30 am', 'Closing_Hour': '12:30 pm', 'Week': ['1', '2', '3', '4']}, {'Day': 'thursday', 'Opening_Hour': '12:00 pm', 'Closing_Hour': '02:00 pm', 'Week': ['1', '2', '3', '4']}, {'Day': 'thursday', 'Opening_Hour': '05:00 pm', 'Closing_Hour': '07:00 pm', 'Week': ['2', '4']}]</t>
  </si>
  <si>
    <t>2nd Tuesday @ 10 (while supplies last) ***TEFAP 3rd Thursday of each month at 1pm</t>
  </si>
  <si>
    <t>[{'Day': 'tuesday', 'Opening_Hour': '10:00 am', 'Closing_Hour': 'unknown', 'Week': ['2']}, {'Day': 'thursday', 'Opening_Hour': '01:00 pm', 'Closing_Hour': 'unknown', 'Week': ['3']}]</t>
  </si>
  <si>
    <t>Wednesday 12:30-3pm &amp; Saturday 9am-12pm</t>
  </si>
  <si>
    <t>[{'Day': 'wednesday', 'Opening_Hour': '12:30 pm', 'Closing_Hour': '03:00 pm', 'Week': ['1', '2', '3', '4']}, {'Day': 'saturday', 'Opening_Hour': '09:00 am', 'Closing_Hour': '12:00 pm', 'Week': ['1', '2', '3', '4']}]</t>
  </si>
  <si>
    <t>2nd and 3rd Saturday 10am-12pm</t>
  </si>
  <si>
    <t>[{'Day': 'saturday', 'Opening_Hour': '10:00 am', 'Closing_Hour': '12:00 pm', 'Week': ['2', '3']}]</t>
  </si>
  <si>
    <t>Monday - Thursday 12:30 pm - 3 pm Friday 12:30 pm - 2:30 pm</t>
  </si>
  <si>
    <t>[{'Day': 'monday', 'Opening_Hour': '12:30 pm', 'Closing_Hour': '03:00 pm', 'Week': ['1', '2', '3', '4']}, {'Day': 'tuesday', 'Opening_Hour': '12:30 pm', 'Closing_Hour': '03:00 pm', 'Week': ['1', '2', '3', '4']}, {'Day': 'wednesday', 'Opening_Hour': '12:30 pm', 'Closing_Hour': '03:00 pm', 'Week': ['1', '2', '3', '4']}, {'Day': 'thursday', 'Opening_Hour': '12:30 pm', 'Closing_Hour': '03:00 pm', 'Week': ['1', '2', '3', '4']}, {'Day': 'friday', 'Opening_Hour': '12:30 pm', 'Closing_Hour': '02:30 pm', 'Week': ['1', '2', '3', '4']}]</t>
  </si>
  <si>
    <t>2nd &amp; 4th Saturdays 8-10am; 3rd Thursdays 8-10am</t>
  </si>
  <si>
    <t>[{'Day': 'saturday', 'Opening_Hour': '08:00 am', 'Closing_Hour': '10:00 am', 'Week': ['2', '4']}, {'Day': 'thursday', 'Opening_Hour': '08:00 am', 'Closing_Hour': '10:00 am', 'Week': ['3']}]</t>
  </si>
  <si>
    <t>Tuesdays and Thursdays 9am-12pm</t>
  </si>
  <si>
    <t>Tues. &amp; Wed. 10am-11:30am &amp; 1pm-2:30pm; Thurs. 10am-11:30am &amp; 2pm-6:30pm; Sun. 4:30pm-6pm</t>
  </si>
  <si>
    <t>[{'Day': 'tuesday', 'Opening_Hour': '10:00 am', 'Closing_Hour': '11:30 am', 'Week': ['1', '2', '3', '4']}, {'Day': 'wednesday', 'Opening_Hour': '10:00 am', 'Closing_Hour': '11:30 am', 'Week': ['1', '2', '3', '4']}, {'Day': 'thursday', 'Opening_Hour': '10:00 am', 'Closing_Hour': '11:30 am', 'Week': ['1', '2', '3', '4']}, {'Day': 'saturday', 'Opening_Hour': '10:00 am', 'Closing_Hour': '11:30 am', 'Week': ['1', '2', '3', '4']}, {'Day': 'sunday', 'Opening_Hour': '10:00 am', 'Closing_Hour': '11:30 am', 'Week': ['1', '2', '3', '4']}]</t>
  </si>
  <si>
    <t>Sundays 4-6pm</t>
  </si>
  <si>
    <t>[{'Day': 'sunday', 'Opening_Hour': '04:00 pm', 'Closing_Hour': '06:00 pm', 'Week': ['1', '2', '3', '4']}]</t>
  </si>
  <si>
    <t>Mondays 3-5pm (closed federal holidays)</t>
  </si>
  <si>
    <t>[{'Day': 'monday', 'Opening_Hour': '03:00 pm', 'Closing_Hour': '05:00 pm', 'Week': ['1', '2', '3', '4']}]</t>
  </si>
  <si>
    <t>2nd and 4th Monday 2-4pm</t>
  </si>
  <si>
    <t>[{'Day': 'monday', 'Opening_Hour': '02:00 pm', 'Closing_Hour': '04:00 pm', 'Week': ['2', '4']}]</t>
  </si>
  <si>
    <t>Saturdays 10a.m.-12p.m.</t>
  </si>
  <si>
    <t>Tues 9-11:30, Thurs 5-7 &amp; Sat 9-11:30</t>
  </si>
  <si>
    <t>[{'Day': 'tuesday', 'Opening_Hour': '09:00 am', 'Closing_Hour': '11:30 am', 'Week': ['1', '2', '3', '4']}, {'Day': 'thursday', 'Opening_Hour': '05:00 pm', 'Closing_Hour': '07:00 pm', 'Week': ['1', '2', '3', '4']}, {'Day': 'saturday', 'Opening_Hour': '09:00 am', 'Closing_Hour': '11:30 am', 'Week': ['1', '2', '3', '4']}]</t>
  </si>
  <si>
    <t>Wednesdays 10am-12pm</t>
  </si>
  <si>
    <t>Thursdays 12-4pm</t>
  </si>
  <si>
    <t>[{'Day': 'thursday', 'Opening_Hour': '12:00 pm', 'Closing_Hour': '04:00 pm', 'Week': ['1', '2', '3', '4']}]</t>
  </si>
  <si>
    <t>1st &amp; 3rd Tuesdays 8:30-11am</t>
  </si>
  <si>
    <t>[{'Day': 'tuesday', 'Opening_Hour': '08:30 am', 'Closing_Hour': '11:00 am', 'Week': ['1', '3']}]</t>
  </si>
  <si>
    <t>First and 3rd Saturday 11am-1pm</t>
  </si>
  <si>
    <t>[{'Day': 'saturday', 'Opening_Hour': '11:00 am', 'Closing_Hour': '01:00 pm', 'Week': ['1', '3']}]</t>
  </si>
  <si>
    <t>Thursdays 12pm - 2pm</t>
  </si>
  <si>
    <t>Wednesdays 9am-12pm</t>
  </si>
  <si>
    <t>Tuesdays 10-11am</t>
  </si>
  <si>
    <t>[{'Day': 'tuesday', 'Opening_Hour': '10:00 am', 'Closing_Hour': '11:00 am', 'Week': ['1', '2', '3', '4']}, {'Day': 'wednesday', 'Opening_Hour': '10:00 am', 'Closing_Hour': '11:00 am', 'Week': ['1', '2', '3', '4']}, {'Day': 'thursday', 'Opening_Hour': '10:00 am', 'Closing_Hour': '11:00 am', 'Week': ['1', '2', '3', '4']}, {'Day': 'friday', 'Opening_Hour': '10:00 am', 'Closing_Hour': '11:00 am', 'Week': ['1', '2', '3', '4']}, {'Day': 'saturday', 'Opening_Hour': '10:00 am', 'Closing_Hour': '11:00 am', 'Week': ['1', '2', '3', '4']}, {'Day': 'sunday', 'Opening_Hour': '10:00 am', 'Closing_Hour': '11:00 am', 'Week': ['1', '2', '3', '4']}]</t>
  </si>
  <si>
    <t>Monday-Friday 10am-12pm</t>
  </si>
  <si>
    <t>Monday-Thursday 9-11am (closed month of August)</t>
  </si>
  <si>
    <t>[{'Day': 'monday', 'Opening_Hour': '09:00 am', 'Closing_Hour': '11:00 am', 'Week': ['1', '2', '3', '4']}, {'Day': 'tuesday', 'Opening_Hour': '09:00 am', 'Closing_Hour': '11:00 am', 'Week': ['1', '2', '3', '4']}, {'Day': 'wednesday', 'Opening_Hour': '09:00 am', 'Closing_Hour': '11:00 am', 'Week': ['1', '2', '3', '4']}, {'Day': 'thursday', 'Opening_Hour': '09:00 am', 'Closing_Hour': '11:00 am', 'Week': ['1', '2', '3', '4']}, {'Day': 'friday', 'Opening_Hour': '09:00 am', 'Closing_Hour': '11:00 am', 'Week': ['1', '2', '3', '4']}]</t>
  </si>
  <si>
    <t>Thursdays 8-10am</t>
  </si>
  <si>
    <t>[{'Day': 'thursday', 'Opening_Hour': '08:00 am', 'Closing_Hour': '10:00 am', 'Week': ['1', '2', '3', '4']}]</t>
  </si>
  <si>
    <t>2nd &amp; 4th Tuesday 11am-12pm</t>
  </si>
  <si>
    <t>[{'Day': 'tuesday', 'Opening_Hour': '11:00 am', 'Closing_Hour': '12:00 pm', 'Week': ['2', '4']}]</t>
  </si>
  <si>
    <t>2nd &amp; 3rd Fri 4-6</t>
  </si>
  <si>
    <t>[{'Day': 'friday', 'Opening_Hour': '04:00 pm', 'Closing_Hour': '06:00 pm', 'Week': ['2', '3']}]</t>
  </si>
  <si>
    <t>Tuesdays at 1pm</t>
  </si>
  <si>
    <t>[{'Day': 'tuesday', 'Opening_Hour': '01:00 pm', 'Closing_Hour': 'unknown', 'Week': ['1', '2', '3', '4']}]</t>
  </si>
  <si>
    <t>Wednesdays 8:30-10am &amp; Thursdays 3:15-4:30pm</t>
  </si>
  <si>
    <t>[{'Day': 'wednesday', 'Opening_Hour': '08:30 am', 'Closing_Hour': '10:00 am', 'Week': ['1', '2', '3', '4']}, {'Day': 'thursday', 'Opening_Hour': '03:15 pm', 'Closing_Hour': '04:30 pm', 'Week': ['1', '2', '3', '4']}]</t>
  </si>
  <si>
    <t>Mondays, Wednesdays, Thursdays 9am-noon &amp; Saturdays 11am-1pm</t>
  </si>
  <si>
    <t>[{'Day': 'monday', 'Opening_Hour': '09:00 am', 'Closing_Hour': '12:00 pm', 'Week': ['1', '2', '3', '4']}, {'Day': 'wednesday', 'Opening_Hour': '09:00 am', 'Closing_Hour': '12:00 pm', 'Week': ['1', '2', '3', '4']}, {'Day': 'thursday', 'Opening_Hour': '09:00 am', 'Closing_Hour': '12:00 pm', 'Week': ['1', '2', '3', '4']}, {'Day': 'saturday', 'Opening_Hour': '11:00 am', 'Closing_Hour': '01:00 pm', 'Week': ['1', '2', '3', '4']}]</t>
  </si>
  <si>
    <t>4th Thursday 4-7pm; Saturday after 2nd Thursday 10am-2pm</t>
  </si>
  <si>
    <t>[{'Day': 'thursday', 'Opening_Hour': '04:00 pm', 'Closing_Hour': '07:00 pm', 'Week': ['4']}, {'Day': 'thursday', 'Opening_Hour': '10:00 am', 'Closing_Hour': '02:00 pm', 'Week': ['2']}]</t>
  </si>
  <si>
    <t>Thursdays 4-6pm &amp; Sundays 10:15-11am</t>
  </si>
  <si>
    <t>[{'Day': 'thursday', 'Opening_Hour': '04:00 pm', 'Closing_Hour': '06:00 pm', 'Week': ['1', '2', '3', '4']}, {'Day': 'sunday', 'Opening_Hour': '10:15 am', 'Closing_Hour': '11:00 am', 'Week': ['1', '2', '3', '4']}]</t>
  </si>
  <si>
    <t>1st, 2nd, 4th, 5th Friday at 4pm til supplies last</t>
  </si>
  <si>
    <t>[{'Day': 'friday', 'Opening_Hour': '04:00 pm', 'Closing_Hour': 'unknown', 'Week': ['1', '2', '4', '5']}]</t>
  </si>
  <si>
    <t>1st &amp; 3rd Mondays 6-7pm</t>
  </si>
  <si>
    <t>[{'Day': 'monday', 'Opening_Hour': '06:00 pm', 'Closing_Hour': '07:00 pm', 'Week': ['1', '3']}]</t>
  </si>
  <si>
    <t>Wednesdays 11am-1pm</t>
  </si>
  <si>
    <t>[{'Day': 'wednesday', 'Opening_Hour': '11:00 am', 'Closing_Hour': '01:00 pm', 'Week': ['1', '2', '3', '4']}]</t>
  </si>
  <si>
    <t>Every other Saturday from 2-4pm</t>
  </si>
  <si>
    <t>1st and 3rd Mondays 1-4pm</t>
  </si>
  <si>
    <t>[{'Day': 'monday', 'Opening_Hour': '01:00 pm', 'Closing_Hour': '04:00 pm', 'Week': ['1', '3']}]</t>
  </si>
  <si>
    <t>2nd and 4th Mondays 4-5pm while supplies last</t>
  </si>
  <si>
    <t>[{'Day': 'monday', 'Opening_Hour': '04:00 pm', 'Closing_Hour': '05:00 pm', 'Week': ['2', '4']}]</t>
  </si>
  <si>
    <t>Sundays 1pm - 3pm</t>
  </si>
  <si>
    <t>Tuesdays 10am-12pm</t>
  </si>
  <si>
    <t>[{'Day': 'tuesday', 'Opening_Hour': '10:00 am', 'Closing_Hour': '12:00 pm', 'Week': ['1', '2', '3', '4']}, {'Day': 'wednesday', 'Opening_Hour': '10:00 am', 'Closing_Hour': '12:00 pm', 'Week': ['1', '2', '3', '4']}, {'Day': 'thursday', 'Opening_Hour': '10:00 am', 'Closing_Hour': '12:00 pm', 'Week': ['1', '2', '3', '4']}, {'Day': 'friday', 'Opening_Hour': '10:00 am', 'Closing_Hour': '12:00 pm', 'Week': ['1', '2', '3', '4']}, {'Day': 'saturday', 'Opening_Hour': '10:00 am', 'Closing_Hour': '12:00 pm', 'Week': ['1', '2', '3', '4']}, {'Day': 'sunday', 'Opening_Hour': '10:00 am', 'Closing_Hour': '12:00 pm', 'Week': ['1', '2', '3', '4']}]</t>
  </si>
  <si>
    <t>2nd Saturday 10am-12pm &amp; 4th Thursday 4-6pm</t>
  </si>
  <si>
    <t>[{'Day': 'saturday', 'Opening_Hour': '10:00 am', 'Closing_Hour': '12:00 pm', 'Week': ['2']}, {'Day': 'thursday', 'Opening_Hour': '04:00 pm', 'Closing_Hour': '06:00 pm', 'Week': ['4']}]</t>
  </si>
  <si>
    <t>Monday 10am-1pm; Tuesday 1pm-4pm; Thursday 10am-1pm; Friday 1pm-4pm; 2nd &amp; 4th Saturday 10am-1pm</t>
  </si>
  <si>
    <t>[{'Day': 'monday', 'Opening_Hour': '10:00 am', 'Closing_Hour': '01:00 pm', 'Week': ['1', '2', '3', '4']}, {'Day': 'tuesday', 'Opening_Hour': '01:00 pm', 'Closing_Hour': '04:00 pm', 'Week': ['1', '2', '3', '4']}, {'Day': 'thursday', 'Opening_Hour': '10:00 am', 'Closing_Hour': '01:00 pm', 'Week': ['1', '2', '3', '4']}, {'Day': 'friday', 'Opening_Hour': '01:00 pm', 'Closing_Hour': '04:00 pm', 'Week': ['1', '2', '3', '4']}, {'Day': 'saturday', 'Opening_Hour': '10:00 am', 'Closing_Hour': '01:00 pm', 'Week': ['2', '4']}]</t>
  </si>
  <si>
    <t>4th Thursday at 12pm (while supplies last)</t>
  </si>
  <si>
    <t>[{'Day': 'thursday', 'Opening_Hour': '12:00 pm', 'Closing_Hour': 'unknown', 'Week': ['4']}]</t>
  </si>
  <si>
    <t>2nd Thursday at 12pm (while supplies last)</t>
  </si>
  <si>
    <t>[{'Day': 'thursday', 'Opening_Hour': '12:00 pm', 'Closing_Hour': 'unknown', 'Week': ['2']}]</t>
  </si>
  <si>
    <t>2nd Tuesday &amp; 4th Thursday 3:30-5:30pm</t>
  </si>
  <si>
    <t>[{'Day': 'tuesday', 'Opening_Hour': '03:30 pm', 'Closing_Hour': '05:30 pm', 'Week': ['2']}, {'Day': 'thursday', 'Opening_Hour': '03:30 pm', 'Closing_Hour': '05:30 pm', 'Week': ['4']}]</t>
  </si>
  <si>
    <t>Second and Fourth Wednesday 12-2pm</t>
  </si>
  <si>
    <t>[{'Day': 'wednesday', 'Opening_Hour': '12:00 pm', 'Closing_Hour': '02:00 pm', 'Week': ['2', '4']}]</t>
  </si>
  <si>
    <t>Parent Agency ID</t>
  </si>
  <si>
    <t>Partner Agency Program No.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</si>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</sst>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siddiq2/Downloads/FBCENC_Access/FBCENC_PartnerAgencies_100725_raw.csv" TargetMode="External"/><Relationship Id="rId1" Type="http://schemas.openxmlformats.org/officeDocument/2006/relationships/externalLinkPath" Target="FBCENC_PartnerAgencies_100725_raw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BCENC_PartnerAgencies_100725_r"/>
    </sheetNames>
    <sheetDataSet>
      <sheetData sheetId="0">
        <row r="2">
          <cell r="H2" t="str">
            <v>Food Box pick up Tuesday and Thursday 8:30AM to 9:30AM. Please call by 9:00 any day to be added to the list</v>
          </cell>
          <cell r="I2" t="str">
            <v>FOODPANTRY</v>
          </cell>
          <cell r="J2" t="str">
            <v>252.492.8231</v>
          </cell>
          <cell r="K2" t="str">
            <v>D1001</v>
          </cell>
          <cell r="L2" t="str">
            <v>D1001FP</v>
          </cell>
          <cell r="M2" t="str">
            <v>ACTS of Vance County</v>
          </cell>
        </row>
        <row r="3">
          <cell r="H3" t="str">
            <v>Lunch 11:00AM to 12:00PM</v>
          </cell>
          <cell r="I3" t="str">
            <v>SOUP KITCH</v>
          </cell>
          <cell r="J3" t="str">
            <v>252-492-8231</v>
          </cell>
          <cell r="K3" t="str">
            <v>D1001</v>
          </cell>
          <cell r="L3" t="str">
            <v>D1001SK</v>
          </cell>
          <cell r="M3" t="str">
            <v>ACTS of Vance County</v>
          </cell>
        </row>
        <row r="4">
          <cell r="H4" t="str">
            <v>MWF 12:45-1:30pm; 3rd Wednesday (Food Bags); Saturdays at 12:45-1:30 pm; Sundays 12:30-1 pm</v>
          </cell>
          <cell r="I4" t="str">
            <v>FOODPANTRY</v>
          </cell>
          <cell r="J4" t="str">
            <v>919-542-4111</v>
          </cell>
          <cell r="K4" t="str">
            <v>D1005</v>
          </cell>
          <cell r="L4" t="str">
            <v>D1005FP</v>
          </cell>
          <cell r="M4" t="str">
            <v>Alston Chapel United Holy</v>
          </cell>
        </row>
        <row r="5">
          <cell r="H5" t="str">
            <v>Last Tuesday of the month from 10:00AM to 12:00PM, or  pick up by appointment please call or text (301)751-4870</v>
          </cell>
          <cell r="I5" t="str">
            <v>FOODPANTRY</v>
          </cell>
          <cell r="J5">
            <v>3017514870</v>
          </cell>
          <cell r="K5" t="str">
            <v>D1006</v>
          </cell>
          <cell r="L5" t="str">
            <v>D1006FP</v>
          </cell>
          <cell r="M5" t="str">
            <v>Anathoth House</v>
          </cell>
        </row>
        <row r="6">
          <cell r="H6" t="str">
            <v>M 4:30- 6:30 pm. WF/9am-12pm</v>
          </cell>
          <cell r="I6" t="str">
            <v>FOODPANTRY</v>
          </cell>
          <cell r="J6" t="str">
            <v>919-690-0961</v>
          </cell>
          <cell r="K6" t="str">
            <v>D1008</v>
          </cell>
          <cell r="L6" t="str">
            <v>D1008FP</v>
          </cell>
          <cell r="M6" t="str">
            <v>Area Congregations in Ministry</v>
          </cell>
        </row>
        <row r="7">
          <cell r="H7" t="str">
            <v>Tuesdays 10:00am - 1:00pm</v>
          </cell>
          <cell r="I7" t="str">
            <v>FOODPANTRY</v>
          </cell>
          <cell r="J7" t="str">
            <v>919-381-8519</v>
          </cell>
          <cell r="K7" t="str">
            <v>D1009</v>
          </cell>
          <cell r="L7" t="str">
            <v>D1009FP</v>
          </cell>
          <cell r="M7" t="str">
            <v>Believers United for Progress</v>
          </cell>
        </row>
        <row r="8">
          <cell r="H8" t="str">
            <v>Wednesday 10:00am - 1:00pm</v>
          </cell>
          <cell r="I8" t="str">
            <v>FOODPANTRY</v>
          </cell>
          <cell r="J8" t="str">
            <v>919-599-6143</v>
          </cell>
          <cell r="K8" t="str">
            <v>D1010</v>
          </cell>
          <cell r="L8" t="str">
            <v>D1010FP</v>
          </cell>
          <cell r="M8" t="str">
            <v>Bell-Yeager</v>
          </cell>
        </row>
        <row r="9">
          <cell r="H9" t="str">
            <v>Fridays from 11:00AM to 12:00PM</v>
          </cell>
          <cell r="I9" t="str">
            <v>FOODPANTRY</v>
          </cell>
          <cell r="J9" t="str">
            <v>919-693-1727</v>
          </cell>
          <cell r="K9" t="str">
            <v>D1011</v>
          </cell>
          <cell r="L9" t="str">
            <v>D1011FP</v>
          </cell>
          <cell r="M9" t="str">
            <v>Belton Creek Baptist Church</v>
          </cell>
        </row>
        <row r="10">
          <cell r="H10" t="str">
            <v>1st &amp; 3rd Tuesday and Wednesday of each month</v>
          </cell>
          <cell r="I10" t="str">
            <v>FOODPANTRY</v>
          </cell>
          <cell r="J10" t="str">
            <v>919-598-9885</v>
          </cell>
          <cell r="K10" t="str">
            <v>D1013</v>
          </cell>
          <cell r="L10" t="str">
            <v>D1013FP</v>
          </cell>
          <cell r="M10" t="str">
            <v>Birchwood Learning Center</v>
          </cell>
        </row>
        <row r="11">
          <cell r="H11" t="str">
            <v>2nd Tuesday 1-2:30 and Appointment only</v>
          </cell>
          <cell r="I11" t="str">
            <v>FOODPANTRY</v>
          </cell>
          <cell r="J11" t="str">
            <v>252-767-3084</v>
          </cell>
          <cell r="K11" t="str">
            <v>D1015</v>
          </cell>
          <cell r="L11" t="str">
            <v>D1015FP</v>
          </cell>
          <cell r="M11" t="str">
            <v>Brookston Baptist Church</v>
          </cell>
        </row>
        <row r="12">
          <cell r="H12" t="str">
            <v>Wednesday 10:00am-1:00pm and 5:00pm-7:00pm, Tursday 10:00am-1:00pm</v>
          </cell>
          <cell r="I12" t="str">
            <v>FOODPANTRY</v>
          </cell>
          <cell r="J12" t="str">
            <v>919-286-1964</v>
          </cell>
          <cell r="K12" t="str">
            <v>D1018</v>
          </cell>
          <cell r="L12" t="str">
            <v>D1018FP</v>
          </cell>
          <cell r="M12" t="str">
            <v>Catholic Charities - Durham Community Food Pantry</v>
          </cell>
        </row>
        <row r="13">
          <cell r="H13" t="str">
            <v>3rd Friday/month 9:30-11am, and as needed</v>
          </cell>
          <cell r="I13" t="str">
            <v>FOODPANTRY</v>
          </cell>
          <cell r="J13" t="str">
            <v>919-732-5450</v>
          </cell>
          <cell r="K13" t="str">
            <v>D1019</v>
          </cell>
          <cell r="L13" t="str">
            <v>D1019FP</v>
          </cell>
          <cell r="M13" t="str">
            <v>Cedar Grove Mt Zion AME Church</v>
          </cell>
        </row>
        <row r="14">
          <cell r="H14" t="str">
            <v>Walk In Choice Food Pantry Monday-Thursday 10:00AM -2:00PM. Drive Thru pick up Friday 10:00AM- 12:00PM</v>
          </cell>
          <cell r="I14" t="str">
            <v>FOODPANTRY</v>
          </cell>
          <cell r="J14" t="str">
            <v>919-542-5020</v>
          </cell>
          <cell r="K14" t="str">
            <v>D1020</v>
          </cell>
          <cell r="L14" t="str">
            <v>D1020FP</v>
          </cell>
          <cell r="M14" t="str">
            <v>Chatham Out-Reach Alliance</v>
          </cell>
        </row>
        <row r="15">
          <cell r="H15" t="str">
            <v>2nd, 4th Thursdays, 4pm to 6pm</v>
          </cell>
          <cell r="I15" t="str">
            <v>FOODPANTRY</v>
          </cell>
          <cell r="J15" t="str">
            <v>919-471-0220</v>
          </cell>
          <cell r="K15" t="str">
            <v>D1021</v>
          </cell>
          <cell r="L15" t="str">
            <v>D1021FP</v>
          </cell>
          <cell r="M15" t="str">
            <v>Christian Assembly Emergency</v>
          </cell>
        </row>
        <row r="16">
          <cell r="H16" t="str">
            <v>Thursdays, 12-2pm</v>
          </cell>
          <cell r="I16" t="str">
            <v>FOODPANTRY</v>
          </cell>
          <cell r="J16" t="str">
            <v>919-528-1581</v>
          </cell>
          <cell r="K16" t="str">
            <v>D1022</v>
          </cell>
          <cell r="L16" t="str">
            <v>D1022FP</v>
          </cell>
          <cell r="M16" t="str">
            <v>Christian Faith Center</v>
          </cell>
        </row>
        <row r="17">
          <cell r="H17" t="str">
            <v>M, W, and F 9:00AM to 11:45AM</v>
          </cell>
          <cell r="I17" t="str">
            <v>FOODPANTRY</v>
          </cell>
          <cell r="J17" t="str">
            <v>336-599-6070</v>
          </cell>
          <cell r="K17" t="str">
            <v>D1023</v>
          </cell>
          <cell r="L17" t="str">
            <v>D1023FP</v>
          </cell>
          <cell r="M17" t="str">
            <v>The Christian Help Center of Person County</v>
          </cell>
        </row>
        <row r="18">
          <cell r="H18" t="str">
            <v>Every Sunday from 1PM - 3 PM</v>
          </cell>
          <cell r="I18" t="str">
            <v>FOODPANTRY</v>
          </cell>
          <cell r="J18" t="str">
            <v>919-286-0547</v>
          </cell>
          <cell r="K18" t="str">
            <v>D1025</v>
          </cell>
          <cell r="L18" t="str">
            <v>D1025FP</v>
          </cell>
          <cell r="M18" t="str">
            <v>Church of Philadelphia</v>
          </cell>
        </row>
        <row r="19">
          <cell r="H19" t="str">
            <v>Call for Appointment</v>
          </cell>
          <cell r="I19" t="str">
            <v>FOODPANTRY</v>
          </cell>
          <cell r="J19" t="str">
            <v>910.261.4015</v>
          </cell>
          <cell r="K19" t="str">
            <v>D1026</v>
          </cell>
          <cell r="L19" t="str">
            <v>D1026FP</v>
          </cell>
          <cell r="M19" t="str">
            <v>CIP</v>
          </cell>
        </row>
        <row r="20">
          <cell r="H20" t="str">
            <v>2nd and 4th Saturdays 9am-10am</v>
          </cell>
          <cell r="I20" t="str">
            <v>FOODPANTRY</v>
          </cell>
          <cell r="J20" t="str">
            <v>252-492-3478</v>
          </cell>
          <cell r="K20" t="str">
            <v>D1029</v>
          </cell>
          <cell r="L20" t="str">
            <v>D1029FP</v>
          </cell>
          <cell r="M20" t="str">
            <v>Cotton Memorial</v>
          </cell>
        </row>
        <row r="21">
          <cell r="H21" t="str">
            <v>4th Friday of Each Month at 8am</v>
          </cell>
          <cell r="I21" t="str">
            <v>DIRECT DST</v>
          </cell>
          <cell r="J21" t="str">
            <v>919-563-4364</v>
          </cell>
          <cell r="K21" t="str">
            <v>D1030</v>
          </cell>
          <cell r="L21" t="str">
            <v>D1030DD</v>
          </cell>
          <cell r="M21" t="str">
            <v>Carr Methodist Church</v>
          </cell>
        </row>
        <row r="22">
          <cell r="H22" t="str">
            <v>Monday -Friday, By Appointment</v>
          </cell>
          <cell r="I22" t="str">
            <v>FOODPANTRY</v>
          </cell>
          <cell r="J22" t="str">
            <v>919-638-2227</v>
          </cell>
          <cell r="K22" t="str">
            <v>D1033</v>
          </cell>
          <cell r="L22" t="str">
            <v>D1033FP</v>
          </cell>
          <cell r="M22" t="str">
            <v>Divine Grace Fellowship</v>
          </cell>
        </row>
        <row r="23">
          <cell r="H23" t="str">
            <v>1st and 3rd Thursday of each Month from 10:30am-12:00pm</v>
          </cell>
          <cell r="I23" t="str">
            <v>FOODPANTRY</v>
          </cell>
          <cell r="J23" t="str">
            <v>919-641-1646</v>
          </cell>
          <cell r="K23" t="str">
            <v>D1041</v>
          </cell>
          <cell r="L23" t="str">
            <v>D1041FP</v>
          </cell>
          <cell r="M23" t="str">
            <v>Emanuel Tabernacle Holiness</v>
          </cell>
        </row>
        <row r="24">
          <cell r="H24" t="str">
            <v>Thursdays 8:30 - 10:30am</v>
          </cell>
          <cell r="I24" t="str">
            <v>FOODPANTRY</v>
          </cell>
          <cell r="J24" t="str">
            <v>919-596-4533</v>
          </cell>
          <cell r="K24" t="str">
            <v>D1043</v>
          </cell>
          <cell r="L24" t="str">
            <v>D1043FP</v>
          </cell>
          <cell r="M24" t="str">
            <v>Faith Gospel Tabernacle</v>
          </cell>
        </row>
        <row r="25">
          <cell r="H25" t="str">
            <v>Tuesdays &amp; Thursdays, 10:00am-12:00pm</v>
          </cell>
          <cell r="I25" t="str">
            <v>FOODPANTRY</v>
          </cell>
          <cell r="J25" t="str">
            <v>919-489-4184</v>
          </cell>
          <cell r="K25" t="str">
            <v>D1049</v>
          </cell>
          <cell r="L25" t="str">
            <v>D1049FP</v>
          </cell>
          <cell r="M25" t="str">
            <v>First Calvary Baptist Church</v>
          </cell>
        </row>
        <row r="26">
          <cell r="H26" t="str">
            <v>Every Wednesday from 12:00 noon until 1:00 p.m</v>
          </cell>
          <cell r="I26" t="str">
            <v>FOODPANTRY</v>
          </cell>
          <cell r="J26" t="str">
            <v>919-682-7416</v>
          </cell>
          <cell r="K26" t="str">
            <v>D1050</v>
          </cell>
          <cell r="L26" t="str">
            <v>D1050FP</v>
          </cell>
          <cell r="M26" t="str">
            <v>Fisher Memorial</v>
          </cell>
        </row>
        <row r="27">
          <cell r="H27" t="str">
            <v>Wednesdays 12:00PM to 3:00PM, 3rd Friday TEFAP drive thru distribution 8:00AM</v>
          </cell>
          <cell r="I27" t="str">
            <v>FOODPANTRY</v>
          </cell>
          <cell r="J27" t="str">
            <v>252-598-0067</v>
          </cell>
          <cell r="K27" t="str">
            <v>D1059</v>
          </cell>
          <cell r="L27" t="str">
            <v>D1059FP</v>
          </cell>
          <cell r="M27" t="str">
            <v>Gang Free INC</v>
          </cell>
        </row>
        <row r="28">
          <cell r="H28" t="str">
            <v>Monday thru Sunday 1:00PM to 3:00PM, 2nd Monday 2:00PM Drive Thru, 4th Tuesday 5:00PM to 6:00PM Drive Thru</v>
          </cell>
          <cell r="I28" t="str">
            <v>DIRECT DST</v>
          </cell>
          <cell r="J28" t="str">
            <v>336-223-9225</v>
          </cell>
          <cell r="K28" t="str">
            <v>D1060</v>
          </cell>
          <cell r="L28" t="str">
            <v>D1060DD</v>
          </cell>
          <cell r="M28" t="str">
            <v>Grace and Peace Tabernacle</v>
          </cell>
        </row>
        <row r="29">
          <cell r="H29" t="str">
            <v>Tuesday 4:00 PM - 6:00 PM and 3rd Saturday 10:00 AM - Noon</v>
          </cell>
          <cell r="I29" t="str">
            <v>FOODPANTRY</v>
          </cell>
          <cell r="K29" t="str">
            <v>D1061</v>
          </cell>
          <cell r="L29" t="str">
            <v>D1061FP</v>
          </cell>
          <cell r="M29" t="str">
            <v>Mom and Pops Giving Closet</v>
          </cell>
        </row>
        <row r="30">
          <cell r="H30" t="str">
            <v>Monday - Friday 10:30am - 12:00pm, 2nd and 4th Saturday 10:00am - 12:00pm</v>
          </cell>
          <cell r="I30" t="str">
            <v>FOODPANTRY</v>
          </cell>
          <cell r="J30" t="str">
            <v>919.423.3215</v>
          </cell>
          <cell r="K30" t="str">
            <v>D1062</v>
          </cell>
          <cell r="L30" t="str">
            <v>D1062FP</v>
          </cell>
          <cell r="M30" t="str">
            <v>Grace Outreach Enrichment</v>
          </cell>
        </row>
        <row r="31">
          <cell r="H31" t="str">
            <v>Saturdays 11:00AM to 1:00PM by appointment please call (336)592-0640, Sundays 1:00PM-3:00PM</v>
          </cell>
          <cell r="I31" t="str">
            <v>FOODPANTRY</v>
          </cell>
          <cell r="J31" t="str">
            <v>(336)592-0640</v>
          </cell>
          <cell r="K31" t="str">
            <v>D1063</v>
          </cell>
          <cell r="L31" t="str">
            <v>D1063FP</v>
          </cell>
          <cell r="M31" t="str">
            <v>Greater Deliverance Tabernacle</v>
          </cell>
        </row>
        <row r="32">
          <cell r="H32" t="str">
            <v>M-F 12pm-1pm</v>
          </cell>
          <cell r="I32" t="str">
            <v>FOODPANTRY</v>
          </cell>
          <cell r="J32" t="str">
            <v>919-358-2048</v>
          </cell>
          <cell r="K32" t="str">
            <v>D1064</v>
          </cell>
          <cell r="L32" t="str">
            <v>D1064FP</v>
          </cell>
          <cell r="M32" t="str">
            <v>Hannah's Community Kitchen</v>
          </cell>
        </row>
        <row r="33">
          <cell r="H33" t="str">
            <v>1st and 3rd Saturdays from 9:00 am until 12:00 noon</v>
          </cell>
          <cell r="I33" t="str">
            <v>FOODPANTRY</v>
          </cell>
          <cell r="J33" t="str">
            <v>919-693-1511</v>
          </cell>
          <cell r="K33" t="str">
            <v>D1065</v>
          </cell>
          <cell r="L33" t="str">
            <v>D1065FP</v>
          </cell>
          <cell r="M33" t="str">
            <v>Greater Ransom Way of the</v>
          </cell>
        </row>
        <row r="34">
          <cell r="H34" t="str">
            <v>3rd Wednesdays 10:00am-12:00pm</v>
          </cell>
          <cell r="I34" t="str">
            <v>FOODPANTRY</v>
          </cell>
          <cell r="J34" t="str">
            <v>919-608-7525</v>
          </cell>
          <cell r="K34" t="str">
            <v>D1066</v>
          </cell>
          <cell r="L34" t="str">
            <v>D1066FP</v>
          </cell>
          <cell r="M34" t="str">
            <v>Greater Refuge Temple</v>
          </cell>
        </row>
        <row r="35">
          <cell r="H35" t="str">
            <v>Tuesday/Wednesday 11-1:30; Fridays emergency only</v>
          </cell>
          <cell r="I35" t="str">
            <v>FOODPANTRY</v>
          </cell>
          <cell r="J35" t="str">
            <v>919-683-5300</v>
          </cell>
          <cell r="K35" t="str">
            <v>D1072</v>
          </cell>
          <cell r="L35" t="str">
            <v>D1072FP</v>
          </cell>
          <cell r="M35" t="str">
            <v>Healing With CAARE</v>
          </cell>
        </row>
        <row r="36">
          <cell r="H36" t="str">
            <v>2nd, 3rd and 4th Thursdays from 10:00AM to 12:00PM, Drive Thru</v>
          </cell>
          <cell r="I36" t="str">
            <v>FOODPANTRY</v>
          </cell>
          <cell r="J36" t="str">
            <v>919-923-0812</v>
          </cell>
          <cell r="K36" t="str">
            <v>D1073</v>
          </cell>
          <cell r="L36" t="str">
            <v>D1073FP</v>
          </cell>
          <cell r="M36" t="str">
            <v>Hillsborough Church Of God</v>
          </cell>
        </row>
        <row r="37">
          <cell r="H37" t="str">
            <v>Wednesday from 5:30-6pm Bread on Fridays</v>
          </cell>
          <cell r="I37" t="str">
            <v>FOODPANTRY</v>
          </cell>
          <cell r="K37" t="str">
            <v>D1075</v>
          </cell>
          <cell r="L37" t="str">
            <v>D1075FP</v>
          </cell>
          <cell r="M37" t="str">
            <v>Emanuel Food Pantry</v>
          </cell>
        </row>
        <row r="38">
          <cell r="H38" t="str">
            <v>1st &amp; 2nd Wed 10-1pm; and as needed</v>
          </cell>
          <cell r="I38" t="str">
            <v>FOODPANTRY</v>
          </cell>
          <cell r="J38" t="str">
            <v>919.957.0032</v>
          </cell>
          <cell r="K38" t="str">
            <v>D1076</v>
          </cell>
          <cell r="L38" t="str">
            <v>D1076FP</v>
          </cell>
          <cell r="M38" t="str">
            <v>Immanuel Temple SDA Community</v>
          </cell>
        </row>
        <row r="39">
          <cell r="H39" t="str">
            <v>Monday-Friday, 9am-5pm; Tues &amp; Wed 5-7pm</v>
          </cell>
          <cell r="I39" t="str">
            <v>FOODPANTRY</v>
          </cell>
          <cell r="J39" t="str">
            <v>919-929-6380, Choose "0"</v>
          </cell>
          <cell r="K39" t="str">
            <v>D1077</v>
          </cell>
          <cell r="L39" t="str">
            <v>D1077FP</v>
          </cell>
          <cell r="M39" t="str">
            <v>Inter-Faith Council Community Market</v>
          </cell>
        </row>
        <row r="40">
          <cell r="H40" t="str">
            <v>Breakfast at 6:15-7am; lunch at 11:15am-12:30pm; dinner at 6:15-7pm</v>
          </cell>
          <cell r="I40" t="str">
            <v>SOUP KITCH</v>
          </cell>
          <cell r="J40" t="str">
            <v>(919)929-6380</v>
          </cell>
          <cell r="K40" t="str">
            <v>D1077</v>
          </cell>
          <cell r="L40" t="str">
            <v>D1077SK</v>
          </cell>
          <cell r="M40" t="str">
            <v>Inter-Faith Council Community Kitchen</v>
          </cell>
        </row>
        <row r="41">
          <cell r="H41" t="str">
            <v>Wednesday's from 5:00PM to 6:00PM</v>
          </cell>
          <cell r="I41" t="str">
            <v>FOODPANTRY</v>
          </cell>
          <cell r="J41" t="str">
            <v>321-246-6344</v>
          </cell>
          <cell r="K41" t="str">
            <v>D1086</v>
          </cell>
          <cell r="L41" t="str">
            <v>D1086FP</v>
          </cell>
          <cell r="M41" t="str">
            <v>Kings Park Church</v>
          </cell>
        </row>
        <row r="42">
          <cell r="H42" t="str">
            <v>2nd and 4th Saturday, 9:30-10:30am</v>
          </cell>
          <cell r="I42" t="str">
            <v>FOODPANTRY</v>
          </cell>
          <cell r="J42" t="str">
            <v>252-492-8152</v>
          </cell>
          <cell r="K42" t="str">
            <v>D1087</v>
          </cell>
          <cell r="L42" t="str">
            <v>D1087FP</v>
          </cell>
          <cell r="M42" t="str">
            <v>Kitrell Shiloh Missionary</v>
          </cell>
        </row>
        <row r="43">
          <cell r="H43" t="str">
            <v xml:space="preserve">1st Monday of the month 3-5PM,3rd Sunday from 1PM-4PM </v>
          </cell>
          <cell r="I43" t="str">
            <v>FOODPANTRY</v>
          </cell>
          <cell r="J43" t="str">
            <v>919-482-9688</v>
          </cell>
          <cell r="K43" t="str">
            <v>D1089</v>
          </cell>
          <cell r="L43" t="str">
            <v>D1089FP</v>
          </cell>
          <cell r="M43" t="str">
            <v>Living Stones</v>
          </cell>
        </row>
        <row r="44">
          <cell r="H44" t="str">
            <v>First Friday of the month at 11:00AM</v>
          </cell>
          <cell r="I44" t="str">
            <v>DIRECT DST</v>
          </cell>
          <cell r="J44" t="str">
            <v>919-225-1228</v>
          </cell>
          <cell r="K44" t="str">
            <v>D1095</v>
          </cell>
          <cell r="L44" t="str">
            <v>D1095DD</v>
          </cell>
          <cell r="M44" t="str">
            <v>Mebane's Chapel United Holy</v>
          </cell>
        </row>
        <row r="45">
          <cell r="H45" t="str">
            <v>Wednesds 9:30am-12:00pm</v>
          </cell>
          <cell r="I45" t="str">
            <v>FOODPANTRY</v>
          </cell>
          <cell r="J45" t="str">
            <v>919-395-7539</v>
          </cell>
          <cell r="K45" t="str">
            <v>D1097</v>
          </cell>
          <cell r="L45" t="str">
            <v>D1097FP</v>
          </cell>
          <cell r="M45" t="str">
            <v>Ministerios Guerreros De Jes˙Cristo International</v>
          </cell>
        </row>
        <row r="46">
          <cell r="H46" t="str">
            <v>Saturdays 9:30am -11:30am</v>
          </cell>
          <cell r="I46" t="str">
            <v>FOODPANTRY</v>
          </cell>
          <cell r="J46" t="str">
            <v>919-414-5407</v>
          </cell>
          <cell r="K46" t="str">
            <v>D1099</v>
          </cell>
          <cell r="L46" t="str">
            <v>D1099FP</v>
          </cell>
          <cell r="M46" t="str">
            <v>Mt Bethel United Methodist</v>
          </cell>
        </row>
        <row r="47">
          <cell r="H47" t="str">
            <v>Thurs 2-4pm</v>
          </cell>
          <cell r="I47" t="str">
            <v>FOODPANTRY</v>
          </cell>
          <cell r="J47" t="str">
            <v>252-430-7277 Ext 24</v>
          </cell>
          <cell r="K47" t="str">
            <v>D1103</v>
          </cell>
          <cell r="L47" t="str">
            <v>D1103FP</v>
          </cell>
          <cell r="M47" t="str">
            <v>Mt Zion Christian Church</v>
          </cell>
        </row>
        <row r="48">
          <cell r="H48" t="str">
            <v>2nd Friday 5:00Pm to 7:00PM, 3rd Friday 9:00AM to 11:00AM By Appt only please call (336)503-3992</v>
          </cell>
          <cell r="I48" t="str">
            <v>FOODPANTRY</v>
          </cell>
          <cell r="J48" t="str">
            <v>336-503-3992</v>
          </cell>
          <cell r="K48" t="str">
            <v>D1105</v>
          </cell>
          <cell r="L48" t="str">
            <v>D1105FP</v>
          </cell>
          <cell r="M48" t="str">
            <v>Oak Grove Community</v>
          </cell>
        </row>
        <row r="49">
          <cell r="H49" t="str">
            <v>Tuesdays 9:00am -12:00pm, Thursday 9:30am - 12:30pm</v>
          </cell>
          <cell r="I49" t="str">
            <v>FOODPANTRY</v>
          </cell>
          <cell r="J49" t="str">
            <v>919-680-2927</v>
          </cell>
          <cell r="K49" t="str">
            <v>D1106</v>
          </cell>
          <cell r="L49" t="str">
            <v>D1106FP</v>
          </cell>
          <cell r="M49" t="str">
            <v>Oak Grove UA Free Will Baptist</v>
          </cell>
        </row>
        <row r="50">
          <cell r="H50" t="str">
            <v>Wednesdays 10:00am-11:00am</v>
          </cell>
          <cell r="I50" t="str">
            <v>FOODPANTRY</v>
          </cell>
          <cell r="J50" t="str">
            <v>919-282-7277</v>
          </cell>
          <cell r="K50" t="str">
            <v>D1107</v>
          </cell>
          <cell r="L50" t="str">
            <v>D1107FP</v>
          </cell>
          <cell r="M50" t="str">
            <v>Obedience To The Word</v>
          </cell>
        </row>
        <row r="51">
          <cell r="H51" t="str">
            <v>Monday thru Friday 9:00Am to 4:30PM by appt</v>
          </cell>
          <cell r="I51" t="str">
            <v>FOODPANTRY</v>
          </cell>
          <cell r="J51" t="str">
            <v>919-732-6194 Ext 12</v>
          </cell>
          <cell r="K51" t="str">
            <v>D1110</v>
          </cell>
          <cell r="L51" t="str">
            <v>D1110FP</v>
          </cell>
          <cell r="M51" t="str">
            <v>Orange Congregations Mission</v>
          </cell>
        </row>
        <row r="52">
          <cell r="H52" t="str">
            <v>Second Monday 11:00AM till 2:00PM</v>
          </cell>
          <cell r="I52" t="str">
            <v>DIRECT DST</v>
          </cell>
          <cell r="J52" t="str">
            <v>(919)939-3101</v>
          </cell>
          <cell r="K52" t="str">
            <v>D1114</v>
          </cell>
          <cell r="L52" t="str">
            <v>D1114DD</v>
          </cell>
          <cell r="M52" t="str">
            <v>Oxford Speaks Life Church House of Ministries</v>
          </cell>
        </row>
        <row r="53">
          <cell r="H53" t="str">
            <v>2nd Monday 11:30 am - 2:00 pm &amp; the following Day Tuesday 4:00 pm - 6:00 pm</v>
          </cell>
          <cell r="I53" t="str">
            <v>FOODPANTRY</v>
          </cell>
          <cell r="J53" t="str">
            <v>919-605-7051</v>
          </cell>
          <cell r="K53" t="str">
            <v>D1116</v>
          </cell>
          <cell r="L53" t="str">
            <v>D1116FP</v>
          </cell>
          <cell r="M53" t="str">
            <v>Pettiford Grove Baptist Church</v>
          </cell>
        </row>
        <row r="54">
          <cell r="H54" t="str">
            <v>1st &amp; 3rd Thursday/month, 12-2pm; limit one visit/month</v>
          </cell>
          <cell r="I54" t="str">
            <v>FOODPANTRY</v>
          </cell>
          <cell r="J54" t="str">
            <v>919-671-4335</v>
          </cell>
          <cell r="K54" t="str">
            <v>D1117</v>
          </cell>
          <cell r="L54" t="str">
            <v>D1117FP</v>
          </cell>
          <cell r="M54" t="str">
            <v>Pine Grove Baptist Church</v>
          </cell>
        </row>
        <row r="55">
          <cell r="H55" t="str">
            <v>2nd Tuesday from 11:00AM to 3:30PM, 3rd Saturday from 10:30AM to 3:30PM drive thru until it is gone</v>
          </cell>
          <cell r="I55" t="str">
            <v>FOODPANTRY</v>
          </cell>
          <cell r="J55" t="str">
            <v>919-918-2822</v>
          </cell>
          <cell r="K55" t="str">
            <v>D1123</v>
          </cell>
          <cell r="L55" t="str">
            <v>D1123FP</v>
          </cell>
          <cell r="M55" t="str">
            <v>Rogers-Eubanks Neighborhood</v>
          </cell>
        </row>
        <row r="56">
          <cell r="H56" t="str">
            <v>1st and 3rd Saturday from 9:00AM to 10:00AM</v>
          </cell>
          <cell r="I56" t="str">
            <v>FOODPANTRY</v>
          </cell>
          <cell r="J56" t="str">
            <v>919.599.0712</v>
          </cell>
          <cell r="K56" t="str">
            <v>D1124</v>
          </cell>
          <cell r="L56" t="str">
            <v>D1124FP</v>
          </cell>
          <cell r="M56" t="str">
            <v>Rougemont Food Pantry</v>
          </cell>
        </row>
        <row r="57">
          <cell r="H57" t="str">
            <v>Wednesdays 9:00am - 12:00pm</v>
          </cell>
          <cell r="I57" t="str">
            <v>FOODPANTRY</v>
          </cell>
          <cell r="J57" t="str">
            <v>919-682-2523</v>
          </cell>
          <cell r="K57" t="str">
            <v>D1126</v>
          </cell>
          <cell r="L57" t="str">
            <v>D1126FP</v>
          </cell>
          <cell r="M57" t="str">
            <v>Russell Memorial CME Church</v>
          </cell>
        </row>
        <row r="58">
          <cell r="H58" t="str">
            <v>Fridays 10:00am - 12:00pm</v>
          </cell>
          <cell r="I58" t="str">
            <v>FOODPANTRY</v>
          </cell>
          <cell r="J58" t="str">
            <v>919-688-7306</v>
          </cell>
          <cell r="K58" t="str">
            <v>D1127</v>
          </cell>
          <cell r="L58" t="str">
            <v>D1127FP</v>
          </cell>
          <cell r="M58" t="str">
            <v>Salvation Army-Durham</v>
          </cell>
        </row>
        <row r="59">
          <cell r="H59" t="str">
            <v>Monday - Thursday 9:00AM to 3:00PM</v>
          </cell>
          <cell r="I59" t="str">
            <v>FOODPANTRY</v>
          </cell>
          <cell r="J59" t="str">
            <v>252-438-7107</v>
          </cell>
          <cell r="K59" t="str">
            <v>D1129</v>
          </cell>
          <cell r="L59" t="str">
            <v>D1129FP</v>
          </cell>
          <cell r="M59" t="str">
            <v>Salvation Army-Henderson</v>
          </cell>
        </row>
        <row r="60">
          <cell r="H60" t="str">
            <v>Every Thursday at 11:30, by Appointment</v>
          </cell>
          <cell r="I60" t="str">
            <v>FOODPANTRY</v>
          </cell>
          <cell r="J60" t="str">
            <v>919-220-2896</v>
          </cell>
          <cell r="K60" t="str">
            <v>D1130</v>
          </cell>
          <cell r="L60" t="str">
            <v>D1130FP</v>
          </cell>
          <cell r="M60" t="str">
            <v>Seed Time &amp; Harvest Fellowship</v>
          </cell>
        </row>
        <row r="61">
          <cell r="H61" t="str">
            <v>Thursday's at 9:00 or by appointment</v>
          </cell>
          <cell r="I61" t="str">
            <v>FOODPANTRY</v>
          </cell>
          <cell r="J61" t="str">
            <v>252-598-0415</v>
          </cell>
          <cell r="K61" t="str">
            <v>D1131</v>
          </cell>
          <cell r="L61" t="str">
            <v>D1131FP</v>
          </cell>
          <cell r="M61" t="str">
            <v>Shiloh Baptist Church</v>
          </cell>
        </row>
        <row r="62">
          <cell r="H62" t="str">
            <v>2nd and 4th Saturdays 10:00AM to 12:00PM</v>
          </cell>
          <cell r="I62" t="str">
            <v>FOODPANTRY</v>
          </cell>
          <cell r="J62" t="str">
            <v>919-967-2318</v>
          </cell>
          <cell r="K62" t="str">
            <v>D1133</v>
          </cell>
          <cell r="L62" t="str">
            <v>D1133FP</v>
          </cell>
          <cell r="M62" t="str">
            <v>Saint John United Holy Church</v>
          </cell>
        </row>
        <row r="63">
          <cell r="H63" t="str">
            <v>4th Thursday at 11-1pm</v>
          </cell>
          <cell r="I63" t="str">
            <v>FOODPANTRY</v>
          </cell>
          <cell r="J63" t="str">
            <v>919-286-0332</v>
          </cell>
          <cell r="K63" t="str">
            <v>D1134</v>
          </cell>
          <cell r="L63" t="str">
            <v>D1134FP</v>
          </cell>
          <cell r="M63" t="str">
            <v>Saint John's House of Refuge</v>
          </cell>
        </row>
        <row r="64">
          <cell r="H64" t="str">
            <v>Wednesdays 2:00pm-3:00pm</v>
          </cell>
          <cell r="I64" t="str">
            <v>FOODPANTRY</v>
          </cell>
          <cell r="J64" t="str">
            <v>(919)682-5454</v>
          </cell>
          <cell r="K64" t="str">
            <v>D1135</v>
          </cell>
          <cell r="L64" t="str">
            <v>D1135FP</v>
          </cell>
          <cell r="M64" t="str">
            <v>Saint Joseph AME Church</v>
          </cell>
        </row>
        <row r="65">
          <cell r="H65" t="str">
            <v xml:space="preserve">Ist Friday drive Thru Distribution from 9:00AM Until its gone, Every Tuesday and Friday 9:30AM until.  </v>
          </cell>
          <cell r="I65" t="str">
            <v>DIRECT DST</v>
          </cell>
          <cell r="J65" t="str">
            <v>919-692-0007</v>
          </cell>
          <cell r="K65" t="str">
            <v>D1149</v>
          </cell>
          <cell r="L65" t="str">
            <v>D1149DD</v>
          </cell>
          <cell r="M65" t="str">
            <v>Upon This Rock Ministry</v>
          </cell>
        </row>
        <row r="66">
          <cell r="H66" t="str">
            <v>Mon. and Wed. 1:00pm - 3:00pm, Tues. and Thurs. 9:30am - 11:30am</v>
          </cell>
          <cell r="I66" t="str">
            <v>FOODPANTRY</v>
          </cell>
          <cell r="J66" t="str">
            <v>919-682-0538</v>
          </cell>
          <cell r="K66" t="str">
            <v>D1150</v>
          </cell>
          <cell r="L66" t="str">
            <v>D1150FP</v>
          </cell>
          <cell r="M66" t="str">
            <v>Urban Ministries Food Pantry</v>
          </cell>
        </row>
        <row r="67">
          <cell r="H67" t="str">
            <v>Mon - Fri 8:00am - 9:00am</v>
          </cell>
          <cell r="I67" t="str">
            <v>SOUP KITCH</v>
          </cell>
          <cell r="J67" t="str">
            <v>919-682-0538 Ext161</v>
          </cell>
          <cell r="K67" t="str">
            <v>D1150</v>
          </cell>
          <cell r="L67" t="str">
            <v>D1150SK</v>
          </cell>
          <cell r="M67" t="str">
            <v>Urban Ministries of Durham</v>
          </cell>
        </row>
        <row r="68">
          <cell r="H68" t="str">
            <v>Monday 4:00PM to 6:00PM, Wed 12:00PM to 2:00PM, Friday 12:00PM ñ 2:00PM, 2nd Saturday of the month 10:00AM ñ 12:00PM</v>
          </cell>
          <cell r="I68" t="str">
            <v>FOODPANTRY</v>
          </cell>
          <cell r="J68" t="str">
            <v>919-742-3111</v>
          </cell>
          <cell r="K68" t="str">
            <v>D1156</v>
          </cell>
          <cell r="L68" t="str">
            <v>D1156FP</v>
          </cell>
          <cell r="M68" t="str">
            <v>CORA Food Pantry in Siler City</v>
          </cell>
        </row>
        <row r="69">
          <cell r="H69" t="str">
            <v>2nd Saturday 11:00am - 1:00pm</v>
          </cell>
          <cell r="I69" t="str">
            <v>FOODPANTRY</v>
          </cell>
          <cell r="J69" t="str">
            <v>919-225-0374</v>
          </cell>
          <cell r="K69" t="str">
            <v>D1157</v>
          </cell>
          <cell r="L69" t="str">
            <v>D1157FP</v>
          </cell>
          <cell r="M69" t="str">
            <v>White Rock Baptist Church</v>
          </cell>
        </row>
        <row r="70">
          <cell r="H70" t="str">
            <v>Drive Thru 1st and 3rd Thursdays 8:00AM until its gone, 4th Wednesday 6:00PM to 7:00PM</v>
          </cell>
          <cell r="I70" t="str">
            <v>DIRECT DST</v>
          </cell>
          <cell r="J70" t="str">
            <v>252-425-1207</v>
          </cell>
          <cell r="K70" t="str">
            <v>D1161</v>
          </cell>
          <cell r="L70" t="str">
            <v>D1161DD</v>
          </cell>
          <cell r="M70" t="str">
            <v>Young Memorial</v>
          </cell>
        </row>
        <row r="71">
          <cell r="H71" t="str">
            <v>2nd and 4th Saturday 9am-12m</v>
          </cell>
          <cell r="I71" t="str">
            <v>FOODPANTRY</v>
          </cell>
          <cell r="J71" t="str">
            <v>(434)222-4624</v>
          </cell>
          <cell r="K71" t="str">
            <v>D1162</v>
          </cell>
          <cell r="L71" t="str">
            <v>D1162FP</v>
          </cell>
          <cell r="M71" t="str">
            <v>Zion Christian Center</v>
          </cell>
        </row>
        <row r="72">
          <cell r="H72" t="str">
            <v>1st Monday of every month at 2:00pm</v>
          </cell>
          <cell r="I72" t="str">
            <v>DIRECT DST</v>
          </cell>
          <cell r="J72" t="str">
            <v>919-688-7138</v>
          </cell>
          <cell r="K72" t="str">
            <v>D1165</v>
          </cell>
          <cell r="L72" t="str">
            <v>D1165DD</v>
          </cell>
          <cell r="M72" t="str">
            <v>Calvary UMC</v>
          </cell>
        </row>
        <row r="73">
          <cell r="H73" t="str">
            <v>1st Thursday at 9:30AM until, Drive Thru</v>
          </cell>
          <cell r="I73" t="str">
            <v>DIRECT DST</v>
          </cell>
          <cell r="J73" t="str">
            <v>919-357-1994</v>
          </cell>
          <cell r="K73" t="str">
            <v>D1174</v>
          </cell>
          <cell r="L73" t="str">
            <v>D1174DD</v>
          </cell>
          <cell r="M73" t="str">
            <v>Hurdle Mills</v>
          </cell>
        </row>
        <row r="74">
          <cell r="H74" t="str">
            <v>1st Friday at 1pm</v>
          </cell>
          <cell r="I74" t="str">
            <v>DIRECT DST</v>
          </cell>
          <cell r="J74" t="str">
            <v>919-939-3186</v>
          </cell>
          <cell r="K74" t="str">
            <v>D1175</v>
          </cell>
          <cell r="L74" t="str">
            <v>D1175DD</v>
          </cell>
          <cell r="M74" t="str">
            <v>Piney Grove Baptist Church</v>
          </cell>
        </row>
        <row r="75">
          <cell r="H75" t="str">
            <v>3rd Monday at 12</v>
          </cell>
          <cell r="I75" t="str">
            <v>DIRECT DST</v>
          </cell>
          <cell r="J75" t="str">
            <v>919-259-1735</v>
          </cell>
          <cell r="K75" t="str">
            <v>D1183</v>
          </cell>
          <cell r="L75" t="str">
            <v>D1183DD</v>
          </cell>
          <cell r="M75" t="str">
            <v>Hillsborough SDA Church</v>
          </cell>
        </row>
        <row r="76">
          <cell r="H76" t="str">
            <v>2nd Saturday of Each Month at 11am</v>
          </cell>
          <cell r="I76" t="str">
            <v>DIRECT DST</v>
          </cell>
          <cell r="K76" t="str">
            <v>D1188</v>
          </cell>
          <cell r="L76" t="str">
            <v>D1188DD</v>
          </cell>
          <cell r="M76" t="str">
            <v>JEWELS Outreach and Networking</v>
          </cell>
        </row>
        <row r="77">
          <cell r="H77" t="str">
            <v>2nd and 4th Thursdays 10am-12pm</v>
          </cell>
          <cell r="I77" t="str">
            <v>FOODPANTRY</v>
          </cell>
          <cell r="J77" t="str">
            <v>984-234-0055</v>
          </cell>
          <cell r="K77" t="str">
            <v>D1220</v>
          </cell>
          <cell r="L77" t="str">
            <v>D1220FP</v>
          </cell>
          <cell r="M77" t="str">
            <v>Amity United Methodist Church</v>
          </cell>
        </row>
        <row r="78">
          <cell r="H78" t="str">
            <v>Direct Distribution 3rd Saturday of the Month from 8AM to 10AM</v>
          </cell>
          <cell r="I78" t="str">
            <v>DIRECT DST</v>
          </cell>
          <cell r="J78" t="str">
            <v>336-214-9273</v>
          </cell>
          <cell r="K78" t="str">
            <v>D1222</v>
          </cell>
          <cell r="L78" t="str">
            <v>D1222DD</v>
          </cell>
          <cell r="M78" t="str">
            <v>Jones Grove Missionary Baptist Church</v>
          </cell>
        </row>
        <row r="79">
          <cell r="H79" t="str">
            <v>Open 3rd Friday of the month by appointment only</v>
          </cell>
          <cell r="I79" t="str">
            <v>FOODPANTRY</v>
          </cell>
          <cell r="J79" t="str">
            <v>(336)214-9273</v>
          </cell>
          <cell r="K79" t="str">
            <v>D1222</v>
          </cell>
          <cell r="L79" t="str">
            <v>D1222FP</v>
          </cell>
          <cell r="M79" t="str">
            <v>Jones Grove Missionary Baptist Church</v>
          </cell>
        </row>
        <row r="80">
          <cell r="H80" t="str">
            <v>2nd Saturday 11am - 1pm</v>
          </cell>
          <cell r="I80" t="str">
            <v>FOODPANTRY</v>
          </cell>
          <cell r="J80" t="str">
            <v>919.688.2163 ext. 7</v>
          </cell>
          <cell r="K80" t="str">
            <v>D1257</v>
          </cell>
          <cell r="L80" t="str">
            <v>D1257FP</v>
          </cell>
          <cell r="M80" t="str">
            <v>One Love Ministries</v>
          </cell>
        </row>
        <row r="81">
          <cell r="H81" t="str">
            <v>2nd Friday 8:15AM until</v>
          </cell>
          <cell r="I81" t="str">
            <v>DIRECT DST</v>
          </cell>
          <cell r="K81" t="str">
            <v>D1258</v>
          </cell>
          <cell r="L81" t="str">
            <v>D1258DD</v>
          </cell>
          <cell r="M81" t="str">
            <v>Cedar Grove Community Center</v>
          </cell>
        </row>
        <row r="82">
          <cell r="H82" t="str">
            <v>1st Monday, 8am-4pm</v>
          </cell>
          <cell r="I82" t="str">
            <v>DIRECT DST</v>
          </cell>
          <cell r="J82" t="str">
            <v>336-539-5870</v>
          </cell>
          <cell r="K82" t="str">
            <v>D1259</v>
          </cell>
          <cell r="L82" t="str">
            <v>D1259DD</v>
          </cell>
          <cell r="M82" t="str">
            <v>Heavenly Manna</v>
          </cell>
        </row>
        <row r="83">
          <cell r="H83" t="str">
            <v>1st Monday of every month at 2:00pm</v>
          </cell>
          <cell r="I83" t="str">
            <v>FOODPANTRY</v>
          </cell>
          <cell r="J83" t="str">
            <v>984.484.8475</v>
          </cell>
          <cell r="K83" t="str">
            <v>D1261</v>
          </cell>
          <cell r="L83" t="str">
            <v>D1261FP</v>
          </cell>
          <cell r="M83" t="str">
            <v>Parktown Food Hub</v>
          </cell>
        </row>
        <row r="84">
          <cell r="H84" t="str">
            <v>2nd Wednesday by appointment please call, 4th Wednesday 8:00AM Drive thru distribution</v>
          </cell>
          <cell r="I84" t="str">
            <v>FOODPANTRY</v>
          </cell>
          <cell r="J84" t="str">
            <v>919-675-8965</v>
          </cell>
          <cell r="K84" t="str">
            <v>D1263</v>
          </cell>
          <cell r="L84" t="str">
            <v>D1263FP</v>
          </cell>
          <cell r="M84" t="str">
            <v>Bonlee Baptist Church</v>
          </cell>
        </row>
        <row r="85">
          <cell r="H85" t="str">
            <v>TEFAP only, 4th Thursday of the month by appt contact Melissa Black  (919)245-4354</v>
          </cell>
          <cell r="I85" t="str">
            <v>FOODPANTRY</v>
          </cell>
          <cell r="J85" t="str">
            <v>919-245-2800</v>
          </cell>
          <cell r="K85" t="str">
            <v>D1265</v>
          </cell>
          <cell r="L85" t="str">
            <v>D1265FP</v>
          </cell>
          <cell r="M85" t="str">
            <v>Orange County DSS</v>
          </cell>
        </row>
        <row r="86">
          <cell r="H86" t="str">
            <v>2nd and 4th Tuesday's 1:00PM, and by appointment</v>
          </cell>
          <cell r="I86" t="str">
            <v>FOODPANTRY</v>
          </cell>
          <cell r="J86" t="str">
            <v>919-939-5549</v>
          </cell>
          <cell r="K86" t="str">
            <v>D1266</v>
          </cell>
          <cell r="L86" t="str">
            <v>D1266FP</v>
          </cell>
          <cell r="M86" t="str">
            <v>Cook's Chapel Church</v>
          </cell>
        </row>
        <row r="87">
          <cell r="H87" t="str">
            <v>4th Thursday Drive through distribution at 8:00AM</v>
          </cell>
          <cell r="I87" t="str">
            <v>DIRECT DST</v>
          </cell>
          <cell r="J87" t="str">
            <v>(252)425-4035</v>
          </cell>
          <cell r="K87" t="str">
            <v>D1267</v>
          </cell>
          <cell r="L87" t="str">
            <v>D1267DD</v>
          </cell>
          <cell r="M87" t="str">
            <v>Saints Delight United Holy Church</v>
          </cell>
        </row>
        <row r="88">
          <cell r="H88" t="str">
            <v>2nd Friday 9:00AM - 12:00PM, 4th Saturday from 10:00AM - 12:00PM by appointment, call and leave a message</v>
          </cell>
          <cell r="I88" t="str">
            <v>FOODPANTRY</v>
          </cell>
          <cell r="J88" t="str">
            <v>919- 693-2377</v>
          </cell>
          <cell r="K88" t="str">
            <v>D1268</v>
          </cell>
          <cell r="L88" t="str">
            <v>D1268FP</v>
          </cell>
          <cell r="M88" t="str">
            <v>New Hope Granville Missionary Baptist Church</v>
          </cell>
        </row>
        <row r="89">
          <cell r="H89" t="str">
            <v>3rd Thursday 9:30am - 11:00am &amp; 4th Tuesday 9:30am - 11:00am</v>
          </cell>
          <cell r="I89" t="str">
            <v>FOODPANTRY</v>
          </cell>
          <cell r="J89" t="str">
            <v>(919) 943-5884</v>
          </cell>
          <cell r="K89" t="str">
            <v>D1273</v>
          </cell>
          <cell r="L89" t="str">
            <v>D1273FP</v>
          </cell>
          <cell r="M89" t="str">
            <v>New Home and Durham Missionary Baptist Association</v>
          </cell>
        </row>
        <row r="90">
          <cell r="H90" t="str">
            <v>First Friday 10:00AM to 1:00PM, Third Saturday 12:00PM to 2:00PM</v>
          </cell>
          <cell r="I90" t="str">
            <v>FOODPANTRY</v>
          </cell>
          <cell r="J90" t="str">
            <v>919-482-6368</v>
          </cell>
          <cell r="K90" t="str">
            <v>D1274</v>
          </cell>
          <cell r="L90" t="str">
            <v>D1274FP</v>
          </cell>
          <cell r="M90" t="str">
            <v>Saint Matthew Missionary Baptist Church</v>
          </cell>
        </row>
        <row r="91">
          <cell r="H91" t="str">
            <v>M,W 1:30PM to 5:30PM, 1st Tuesday 3:00PM to 5:30PM, 1st and 3rd Friday 12:00PM to 5:30PM, Saturdays 10:00AM to 12:00PM</v>
          </cell>
          <cell r="I91" t="str">
            <v>FOODPANTRY</v>
          </cell>
          <cell r="J91" t="str">
            <v>252-915-2683</v>
          </cell>
          <cell r="K91" t="str">
            <v>D1290</v>
          </cell>
          <cell r="L91" t="str">
            <v>D1290FP</v>
          </cell>
          <cell r="M91" t="str">
            <v>Turning Point Community Development Corporation</v>
          </cell>
        </row>
        <row r="92">
          <cell r="H92" t="str">
            <v>Distributes on 1st and 3rd Saturdays from 11 to 12PM</v>
          </cell>
          <cell r="I92" t="str">
            <v>FOODPANTRY</v>
          </cell>
          <cell r="J92" t="str">
            <v>(919)967-3056</v>
          </cell>
          <cell r="K92" t="str">
            <v>D1293</v>
          </cell>
          <cell r="L92" t="str">
            <v>D1293FP</v>
          </cell>
          <cell r="M92" t="str">
            <v>Hillside Church Food Pantry</v>
          </cell>
        </row>
        <row r="93">
          <cell r="H93" t="str">
            <v>1st,2nd and 4th Saturdays at 12:00PM until</v>
          </cell>
          <cell r="I93" t="str">
            <v>FOODPANTRY</v>
          </cell>
          <cell r="J93" t="str">
            <v>919-638-9700</v>
          </cell>
          <cell r="K93" t="str">
            <v>D1300</v>
          </cell>
          <cell r="L93" t="str">
            <v>D1300FP</v>
          </cell>
          <cell r="M93" t="str">
            <v>Life Point Church Storehouse</v>
          </cell>
        </row>
        <row r="94">
          <cell r="H94" t="str">
            <v>Monday and Wednesday 1:00pm - 3:00pm, Tuesday and Thursday 9:30am - 11:30am</v>
          </cell>
          <cell r="I94" t="str">
            <v>FOODPANTRY</v>
          </cell>
          <cell r="J94" t="str">
            <v>919.470.8680</v>
          </cell>
          <cell r="K94" t="str">
            <v>D1302</v>
          </cell>
          <cell r="L94" t="str">
            <v>D1302FP</v>
          </cell>
          <cell r="M94" t="str">
            <v>Community Health Coalition</v>
          </cell>
        </row>
        <row r="95">
          <cell r="H95" t="str">
            <v>Fridays 10:00am - 11:30am</v>
          </cell>
          <cell r="I95" t="str">
            <v>FOODPANTRY</v>
          </cell>
          <cell r="J95" t="str">
            <v>919-371-8321</v>
          </cell>
          <cell r="K95" t="str">
            <v>D1304</v>
          </cell>
          <cell r="L95" t="str">
            <v>D1304FP</v>
          </cell>
          <cell r="M95" t="str">
            <v>Dream Seekers/Church of the Apostolic Revival Intl</v>
          </cell>
        </row>
        <row r="96">
          <cell r="H96" t="str">
            <v>2nd and 4th Wed 9:30AM until it runs out</v>
          </cell>
          <cell r="I96" t="str">
            <v>DIRECT DST</v>
          </cell>
          <cell r="K96" t="str">
            <v>D1311</v>
          </cell>
          <cell r="L96" t="str">
            <v>D1311DD</v>
          </cell>
          <cell r="M96" t="str">
            <v>Town of Chapel Hill</v>
          </cell>
        </row>
        <row r="97">
          <cell r="H97" t="str">
            <v>1st Monday at 8:30am while supplies last</v>
          </cell>
          <cell r="I97" t="str">
            <v>DIRECT DST</v>
          </cell>
          <cell r="J97" t="str">
            <v>252-522-9991</v>
          </cell>
          <cell r="K97" t="str">
            <v>G1002</v>
          </cell>
          <cell r="L97" t="str">
            <v>G1002MFP</v>
          </cell>
          <cell r="M97" t="str">
            <v>Alpha and Omega Church</v>
          </cell>
        </row>
        <row r="98">
          <cell r="H98" t="str">
            <v>Friday from 1p-3p and 1st and 3rd Sunday 1:15p-3:30p; Calls for emergency</v>
          </cell>
          <cell r="I98" t="str">
            <v>FOODPANTRY</v>
          </cell>
          <cell r="J98" t="str">
            <v>252-931-9039</v>
          </cell>
          <cell r="K98" t="str">
            <v>G1005</v>
          </cell>
          <cell r="L98" t="str">
            <v>G1005FP</v>
          </cell>
          <cell r="M98" t="str">
            <v>An-Nissa 2</v>
          </cell>
        </row>
        <row r="99">
          <cell r="H99" t="str">
            <v>4th Fridays at 9am &amp; calls for emergencies</v>
          </cell>
          <cell r="I99" t="str">
            <v>FOODPANTRY</v>
          </cell>
          <cell r="J99" t="str">
            <v>252-347-4513</v>
          </cell>
          <cell r="K99" t="str">
            <v>G1006</v>
          </cell>
          <cell r="L99" t="str">
            <v>G1006FP</v>
          </cell>
          <cell r="M99" t="str">
            <v>Antioch United Holy Church</v>
          </cell>
        </row>
        <row r="100">
          <cell r="H100" t="str">
            <v>Thursday and Saturday, 8am-9am</v>
          </cell>
          <cell r="I100" t="str">
            <v>FOODPANTRY</v>
          </cell>
          <cell r="J100" t="str">
            <v>252-689-6590</v>
          </cell>
          <cell r="K100" t="str">
            <v>G1008</v>
          </cell>
          <cell r="L100" t="str">
            <v>G1008FP1</v>
          </cell>
          <cell r="M100" t="str">
            <v>Armor of God Christian Church</v>
          </cell>
        </row>
        <row r="101">
          <cell r="H101" t="str">
            <v>1st, 2nd, 4th Fridays 9:00-11:30, close 5th Friday of each month and closed July and August</v>
          </cell>
          <cell r="I101" t="str">
            <v>FOODPANTRY</v>
          </cell>
          <cell r="J101" t="str">
            <v>252-746-2995</v>
          </cell>
          <cell r="K101" t="str">
            <v>G1010</v>
          </cell>
          <cell r="L101" t="str">
            <v>G1010FP</v>
          </cell>
          <cell r="M101" t="str">
            <v>Ayden Christian Care Center</v>
          </cell>
        </row>
        <row r="102">
          <cell r="H102" t="str">
            <v>2nd and 4th Tuesday from 1p-3p</v>
          </cell>
          <cell r="I102" t="str">
            <v>FOODPANTRY</v>
          </cell>
          <cell r="J102" t="str">
            <v>919-345-1285</v>
          </cell>
          <cell r="K102" t="str">
            <v>G1018</v>
          </cell>
          <cell r="L102" t="str">
            <v>G1018FP</v>
          </cell>
          <cell r="M102" t="str">
            <v>Bountiful Blessings House of Redemption Inc</v>
          </cell>
        </row>
        <row r="103">
          <cell r="H103" t="str">
            <v>2nd Friday and 4th Thursday 6-10am</v>
          </cell>
          <cell r="I103" t="str">
            <v>FOODPANTRY</v>
          </cell>
          <cell r="J103" t="str">
            <v>252-524-4041</v>
          </cell>
          <cell r="K103" t="str">
            <v>G1020</v>
          </cell>
          <cell r="L103" t="str">
            <v>G1020FP</v>
          </cell>
          <cell r="M103" t="str">
            <v>Bread of Life</v>
          </cell>
        </row>
        <row r="104">
          <cell r="H104" t="str">
            <v>Tuesday from 10a-3:30pm &amp; emergency calls</v>
          </cell>
          <cell r="I104" t="str">
            <v>FOODPANTRY</v>
          </cell>
          <cell r="J104" t="str">
            <v>252-355-5111</v>
          </cell>
          <cell r="K104" t="str">
            <v>G1023</v>
          </cell>
          <cell r="L104" t="str">
            <v>G1023FP</v>
          </cell>
          <cell r="M104" t="str">
            <v>Catholic Charities- Tar River</v>
          </cell>
        </row>
        <row r="105">
          <cell r="H105" t="str">
            <v>3rd Wednesday's at 8am and by emergency</v>
          </cell>
          <cell r="I105" t="str">
            <v>FOODPANTRY</v>
          </cell>
          <cell r="J105" t="str">
            <v>252-292-1569</v>
          </cell>
          <cell r="K105" t="str">
            <v>G1024</v>
          </cell>
          <cell r="L105" t="str">
            <v>G1024FP</v>
          </cell>
          <cell r="M105" t="str">
            <v>Christ Deliverance Tabernacle</v>
          </cell>
        </row>
        <row r="106">
          <cell r="H106" t="str">
            <v>M W F from 4p-4:30p</v>
          </cell>
          <cell r="I106" t="str">
            <v>FOODPANTRY</v>
          </cell>
          <cell r="J106" t="str">
            <v>252-977-1273</v>
          </cell>
          <cell r="K106" t="str">
            <v>G1025</v>
          </cell>
          <cell r="L106" t="str">
            <v>G1025FP</v>
          </cell>
          <cell r="M106" t="str">
            <v>Christian Fellowship Homes</v>
          </cell>
        </row>
        <row r="107">
          <cell r="H107" t="str">
            <v>Call-in Appointments; Monday through Friday from 9a-8p</v>
          </cell>
          <cell r="I107" t="str">
            <v>FOODPANTRY</v>
          </cell>
          <cell r="J107" t="str">
            <v>252-717-9600</v>
          </cell>
          <cell r="K107" t="str">
            <v>G1027</v>
          </cell>
          <cell r="L107" t="str">
            <v>G1027FP1</v>
          </cell>
          <cell r="M107" t="str">
            <v>Churches Outreach Network</v>
          </cell>
        </row>
        <row r="108">
          <cell r="H108" t="str">
            <v>4th Monday, Wednesday, Friday 10:00am-12:00pm</v>
          </cell>
          <cell r="I108" t="str">
            <v>FOODPANTRY</v>
          </cell>
          <cell r="J108" t="str">
            <v>252-413-9713</v>
          </cell>
          <cell r="K108" t="str">
            <v>G1027</v>
          </cell>
          <cell r="L108" t="str">
            <v>G1027FP3</v>
          </cell>
          <cell r="M108" t="str">
            <v>Churches Outreach Network</v>
          </cell>
        </row>
        <row r="109">
          <cell r="H109" t="str">
            <v>2nd Tuesday 8am-10am</v>
          </cell>
          <cell r="I109" t="str">
            <v>FOODPANTRY</v>
          </cell>
          <cell r="J109" t="str">
            <v>252-902-5061</v>
          </cell>
          <cell r="K109" t="str">
            <v>G1027</v>
          </cell>
          <cell r="L109" t="str">
            <v>G1027FP4</v>
          </cell>
          <cell r="M109" t="str">
            <v>Churches Outreach Network</v>
          </cell>
        </row>
        <row r="110">
          <cell r="H110" t="str">
            <v>3rd Thursday 10a-1p</v>
          </cell>
          <cell r="I110" t="str">
            <v>FOODPANTRY</v>
          </cell>
          <cell r="J110" t="str">
            <v>252-347-1984</v>
          </cell>
          <cell r="K110" t="str">
            <v>G1027</v>
          </cell>
          <cell r="L110" t="str">
            <v>G1027FP5</v>
          </cell>
          <cell r="M110" t="str">
            <v>Churches Outreach Network</v>
          </cell>
        </row>
        <row r="111">
          <cell r="H111" t="str">
            <v>Every Tuesday/Friday at 12:30pm</v>
          </cell>
          <cell r="I111" t="str">
            <v>FOODPANTRY</v>
          </cell>
          <cell r="J111" t="str">
            <v>252-756-0094</v>
          </cell>
          <cell r="K111" t="str">
            <v>G1036</v>
          </cell>
          <cell r="L111" t="str">
            <v>G1036FP</v>
          </cell>
          <cell r="M111" t="str">
            <v>Emmanuel Community Unison Baptist Church</v>
          </cell>
        </row>
        <row r="112">
          <cell r="H112" t="str">
            <v xml:space="preserve"> 2nd &amp; 4th Thursdays 1-2pm; TEFAP 3rd Friday 9a-11a</v>
          </cell>
          <cell r="I112" t="str">
            <v>FOODPANTRY</v>
          </cell>
          <cell r="J112" t="str">
            <v>252-686-2859</v>
          </cell>
          <cell r="K112" t="str">
            <v>G1037</v>
          </cell>
          <cell r="L112" t="str">
            <v>G1037FP</v>
          </cell>
          <cell r="M112" t="str">
            <v>Faith Developmental Community</v>
          </cell>
        </row>
        <row r="113">
          <cell r="H113" t="str">
            <v>3rd Fri 9-11</v>
          </cell>
          <cell r="I113" t="str">
            <v>DIRECT DST</v>
          </cell>
          <cell r="J113" t="str">
            <v>252-806-0026</v>
          </cell>
          <cell r="K113" t="str">
            <v>G1037</v>
          </cell>
          <cell r="L113" t="str">
            <v>G1037MFP</v>
          </cell>
          <cell r="M113" t="str">
            <v>Faith Developmental Community</v>
          </cell>
        </row>
        <row r="114">
          <cell r="H114" t="str">
            <v>Tuesdays/Fridays 2:00pm and emergency food calls to church</v>
          </cell>
          <cell r="I114" t="str">
            <v>FOODPANTRY</v>
          </cell>
          <cell r="J114" t="str">
            <v>252-566-3881</v>
          </cell>
          <cell r="K114" t="str">
            <v>G1039</v>
          </cell>
          <cell r="L114" t="str">
            <v>G1039FP</v>
          </cell>
          <cell r="M114" t="str">
            <v>First Missionary</v>
          </cell>
        </row>
        <row r="115">
          <cell r="H115" t="str">
            <v>Monday - Thursday from 10 am - 3pm. By appointment only, call ahead for scheduling</v>
          </cell>
          <cell r="I115" t="str">
            <v>FOODPANTRY</v>
          </cell>
          <cell r="J115" t="str">
            <v>252-283-0171 ext. 101</v>
          </cell>
          <cell r="K115" t="str">
            <v>G1041</v>
          </cell>
          <cell r="L115" t="str">
            <v>G1041FP1</v>
          </cell>
          <cell r="M115" t="str">
            <v>Freedom Family Foundation Inc</v>
          </cell>
        </row>
        <row r="116">
          <cell r="H116" t="str">
            <v>4th Friday at 9:30am and emergency calls</v>
          </cell>
          <cell r="I116" t="str">
            <v>FOODPANTRY</v>
          </cell>
          <cell r="J116" t="str">
            <v>252-520-0010</v>
          </cell>
          <cell r="K116" t="str">
            <v>G1044</v>
          </cell>
          <cell r="L116" t="str">
            <v>G1044FP</v>
          </cell>
          <cell r="M116" t="str">
            <v>Greater St Peter</v>
          </cell>
        </row>
        <row r="117">
          <cell r="H117" t="str">
            <v>1st and 3rd Thursday, 10 am- 1 pm. Drive through. Delivery available.</v>
          </cell>
          <cell r="I117" t="str">
            <v>FOODPANTRY</v>
          </cell>
          <cell r="J117" t="str">
            <v>252-747-1040 / 252-747-1091</v>
          </cell>
          <cell r="K117" t="str">
            <v>G1045</v>
          </cell>
          <cell r="L117" t="str">
            <v>G1045FP</v>
          </cell>
          <cell r="M117" t="str">
            <v>Greene County Interfaith</v>
          </cell>
        </row>
        <row r="118">
          <cell r="H118" t="str">
            <v>Mondays &amp; Thursdays 9:30am-3:00pm</v>
          </cell>
          <cell r="I118" t="str">
            <v>FOODPANTRY</v>
          </cell>
          <cell r="J118" t="str">
            <v>252-531-1931</v>
          </cell>
          <cell r="K118" t="str">
            <v>G1048</v>
          </cell>
          <cell r="L118" t="str">
            <v>G1048FP</v>
          </cell>
          <cell r="M118" t="str">
            <v>Grifton Mission Ministries</v>
          </cell>
        </row>
        <row r="119">
          <cell r="H119" t="str">
            <v>Mon-Sat 9AM-12PM</v>
          </cell>
          <cell r="I119" t="str">
            <v>FOODPANTRY</v>
          </cell>
          <cell r="J119" t="str">
            <v>252-523-0871</v>
          </cell>
          <cell r="K119" t="str">
            <v>G1050</v>
          </cell>
          <cell r="L119" t="str">
            <v>G1050FP</v>
          </cell>
          <cell r="M119" t="str">
            <v>Hands for Humanity CDC</v>
          </cell>
        </row>
        <row r="120">
          <cell r="H120" t="str">
            <v>1st Friday's 11am-4pm and by phone</v>
          </cell>
          <cell r="I120" t="str">
            <v>FOODPANTRY</v>
          </cell>
          <cell r="J120" t="str">
            <v>252-813-3126</v>
          </cell>
          <cell r="K120" t="str">
            <v>G1053</v>
          </cell>
          <cell r="L120" t="str">
            <v>G1053FP</v>
          </cell>
          <cell r="M120" t="str">
            <v>Hobgood Citizens Group</v>
          </cell>
        </row>
        <row r="121">
          <cell r="H121" t="str">
            <v>4th Tuesday 11am</v>
          </cell>
          <cell r="I121" t="str">
            <v>DIRECT DST</v>
          </cell>
          <cell r="J121" t="str">
            <v>252-445-2562</v>
          </cell>
          <cell r="K121" t="str">
            <v>G1057</v>
          </cell>
          <cell r="L121" t="str">
            <v>G1057MFP</v>
          </cell>
          <cell r="M121" t="str">
            <v>Ivory Hill Baptist Church</v>
          </cell>
        </row>
        <row r="122">
          <cell r="H122" t="str">
            <v>1st Thursday &amp; 3rd Saturday (TEFAP) from 10a-12p</v>
          </cell>
          <cell r="I122" t="str">
            <v>FOODPANTRY</v>
          </cell>
          <cell r="J122" t="str">
            <v>252-714-3296</v>
          </cell>
          <cell r="K122" t="str">
            <v>G1058</v>
          </cell>
          <cell r="L122" t="str">
            <v>G1058FP</v>
          </cell>
          <cell r="M122" t="str">
            <v>Joseph Provisions</v>
          </cell>
        </row>
        <row r="123">
          <cell r="H123" t="str">
            <v>4th Sat at 8am | calls for emergency food</v>
          </cell>
          <cell r="I123" t="str">
            <v>FOODPANTRY</v>
          </cell>
          <cell r="J123" t="str">
            <v>252-315-2932</v>
          </cell>
          <cell r="K123" t="str">
            <v>G1060</v>
          </cell>
          <cell r="L123" t="str">
            <v>G1060FP</v>
          </cell>
          <cell r="M123" t="str">
            <v>Kairos Church Ministry</v>
          </cell>
        </row>
        <row r="124">
          <cell r="H124" t="str">
            <v>3rd Saturday 10a-12p and calls</v>
          </cell>
          <cell r="I124" t="str">
            <v>FOODPANTRY</v>
          </cell>
          <cell r="J124" t="str">
            <v>252-758-1701</v>
          </cell>
          <cell r="K124" t="str">
            <v>G1062</v>
          </cell>
          <cell r="L124" t="str">
            <v>G1062FP</v>
          </cell>
          <cell r="M124" t="str">
            <v>Kingdom Care Inc</v>
          </cell>
        </row>
        <row r="125">
          <cell r="H125" t="str">
            <v xml:space="preserve">2nd Tuesday 12-2pm/4th Wed from 7:30a-9a (TEFAP)/Monday-Friday from 8a-5p </v>
          </cell>
          <cell r="I125" t="str">
            <v>FOODPANTRY</v>
          </cell>
          <cell r="J125" t="str">
            <v>252-268-6195</v>
          </cell>
          <cell r="K125" t="str">
            <v>G1064</v>
          </cell>
          <cell r="L125" t="str">
            <v>G1064FP</v>
          </cell>
          <cell r="M125" t="str">
            <v>Koinonia Christian Center</v>
          </cell>
        </row>
        <row r="126">
          <cell r="H126" t="str">
            <v>3rd Saturday 8am-9am</v>
          </cell>
          <cell r="I126" t="str">
            <v>FOODPANTRY</v>
          </cell>
          <cell r="J126" t="str">
            <v>252-382-3754</v>
          </cell>
          <cell r="K126" t="str">
            <v>G1066</v>
          </cell>
          <cell r="L126" t="str">
            <v>G1066FP</v>
          </cell>
          <cell r="M126" t="str">
            <v>Living Waters Ministries of</v>
          </cell>
        </row>
        <row r="127">
          <cell r="H127" t="str">
            <v>4th Saturday 9am-12pm</v>
          </cell>
          <cell r="I127" t="str">
            <v>FOODPANTRY</v>
          </cell>
          <cell r="J127" t="str">
            <v>252-758-2532</v>
          </cell>
          <cell r="K127" t="str">
            <v>G1072</v>
          </cell>
          <cell r="L127" t="str">
            <v>G1072FP</v>
          </cell>
          <cell r="M127" t="str">
            <v>Mount Calvary Grace and Mercy Street Ministry</v>
          </cell>
        </row>
        <row r="128">
          <cell r="H128" t="str">
            <v>3rd Monday at 10a-12pm</v>
          </cell>
          <cell r="I128" t="str">
            <v>DIRECT DST</v>
          </cell>
          <cell r="K128" t="str">
            <v>G1073</v>
          </cell>
          <cell r="L128" t="str">
            <v>G1073MFP</v>
          </cell>
          <cell r="M128" t="str">
            <v>NEEDS Center</v>
          </cell>
        </row>
        <row r="129">
          <cell r="H129" t="str">
            <v>2nd and 4th Thursday from 10a-12p</v>
          </cell>
          <cell r="I129" t="str">
            <v>FOODPANTRY</v>
          </cell>
          <cell r="J129" t="str">
            <v>252-565-4333</v>
          </cell>
          <cell r="K129" t="str">
            <v>G1075</v>
          </cell>
          <cell r="L129" t="str">
            <v>G1075FP</v>
          </cell>
          <cell r="M129" t="str">
            <v>Mt Moriah Community Church</v>
          </cell>
        </row>
        <row r="130">
          <cell r="H130" t="str">
            <v>4th Tuesday at 3p</v>
          </cell>
          <cell r="I130" t="str">
            <v>DIRECT DST</v>
          </cell>
          <cell r="J130" t="str">
            <v>252-747-3009</v>
          </cell>
          <cell r="K130" t="str">
            <v>G1080</v>
          </cell>
          <cell r="L130" t="str">
            <v>G1080MFP</v>
          </cell>
          <cell r="M130" t="str">
            <v>Optimal Beginnings Inc</v>
          </cell>
        </row>
        <row r="131">
          <cell r="H131" t="str">
            <v>Every Tuesday at 11:30am-12:30pm</v>
          </cell>
          <cell r="I131" t="str">
            <v>FOODPANTRY</v>
          </cell>
          <cell r="J131" t="str">
            <v>252-355-0300 Ext 304</v>
          </cell>
          <cell r="K131" t="str">
            <v>G1081</v>
          </cell>
          <cell r="L131" t="str">
            <v>G1081FP</v>
          </cell>
          <cell r="M131" t="str">
            <v>Paradise Christian Center</v>
          </cell>
        </row>
        <row r="132">
          <cell r="H132" t="str">
            <v>every Thursday 2p-4p</v>
          </cell>
          <cell r="I132" t="str">
            <v>FOODPANTRY</v>
          </cell>
          <cell r="J132" t="str">
            <v>(252)258-2633</v>
          </cell>
          <cell r="K132" t="str">
            <v>G1082</v>
          </cell>
          <cell r="L132" t="str">
            <v>G1082FP</v>
          </cell>
          <cell r="M132" t="str">
            <v>Pentecostal Temple</v>
          </cell>
        </row>
        <row r="133">
          <cell r="H133" t="str">
            <v>3rd Tuesday 9am-12pm</v>
          </cell>
          <cell r="I133" t="str">
            <v>FOODPANTRY</v>
          </cell>
          <cell r="J133" t="str">
            <v>252-227-3991</v>
          </cell>
          <cell r="K133" t="str">
            <v>G1086</v>
          </cell>
          <cell r="L133" t="str">
            <v>G1086FP</v>
          </cell>
          <cell r="M133" t="str">
            <v>Regeneration Development Group, Inc</v>
          </cell>
        </row>
        <row r="134">
          <cell r="H134" t="str">
            <v>By appointment only</v>
          </cell>
          <cell r="I134" t="str">
            <v>FOODPANTRY</v>
          </cell>
          <cell r="J134" t="str">
            <v>252-746-2415</v>
          </cell>
          <cell r="K134" t="str">
            <v>G1087</v>
          </cell>
          <cell r="L134" t="str">
            <v>G1087FP</v>
          </cell>
          <cell r="M134" t="str">
            <v>Rose Hill Free Will Baptist</v>
          </cell>
        </row>
        <row r="135">
          <cell r="H135" t="str">
            <v>4th Thursday from 9a-12p (TEFAP), 4th Wednesday 9a-11a</v>
          </cell>
          <cell r="I135" t="str">
            <v>FOODPANTRY</v>
          </cell>
          <cell r="J135" t="str">
            <v>252-695-0486</v>
          </cell>
          <cell r="K135" t="str">
            <v>G1089</v>
          </cell>
          <cell r="L135" t="str">
            <v>G1089FP</v>
          </cell>
          <cell r="M135" t="str">
            <v>Saints Delight Church of God in Christ</v>
          </cell>
        </row>
        <row r="136">
          <cell r="H136" t="str">
            <v>1st and 3rd Sat at 10a-12p</v>
          </cell>
          <cell r="I136" t="str">
            <v>FOODPANTRY</v>
          </cell>
          <cell r="J136" t="str">
            <v>252-752-1273</v>
          </cell>
          <cell r="K136" t="str">
            <v>G1090</v>
          </cell>
          <cell r="L136" t="str">
            <v>G1090FP</v>
          </cell>
          <cell r="M136" t="str">
            <v>Salem United Methodist Church</v>
          </cell>
        </row>
        <row r="137">
          <cell r="H137" t="str">
            <v>2nd &amp; 4th Thursdays 2:00pm, Drive-thru</v>
          </cell>
          <cell r="I137" t="str">
            <v>FOODPANTRY</v>
          </cell>
          <cell r="J137" t="str">
            <v>252-756-3388</v>
          </cell>
          <cell r="K137" t="str">
            <v>G1092</v>
          </cell>
          <cell r="L137" t="str">
            <v>G1092FP</v>
          </cell>
          <cell r="M137" t="str">
            <v>Salvation Army-Greenville</v>
          </cell>
        </row>
        <row r="138">
          <cell r="H138" t="str">
            <v>2nd &amp; 4th Thursdays 10am-until</v>
          </cell>
          <cell r="I138" t="str">
            <v>FOODPANTRY</v>
          </cell>
          <cell r="J138" t="str">
            <v>252-756-4869</v>
          </cell>
          <cell r="K138" t="str">
            <v>G1094</v>
          </cell>
          <cell r="L138" t="str">
            <v>G1094FP</v>
          </cell>
          <cell r="M138" t="str">
            <v>Senior Home Care Services Inc</v>
          </cell>
        </row>
        <row r="139">
          <cell r="H139" t="str">
            <v>2nd/4th Saturdays 9:00am-10:00am</v>
          </cell>
          <cell r="I139" t="str">
            <v>FOODPANTRY</v>
          </cell>
          <cell r="J139" t="str">
            <v>252-752-6154</v>
          </cell>
          <cell r="K139" t="str">
            <v>G1097</v>
          </cell>
          <cell r="L139" t="str">
            <v>G1097FP</v>
          </cell>
          <cell r="M139" t="str">
            <v>Saint James United Methodist</v>
          </cell>
        </row>
        <row r="140">
          <cell r="H140" t="str">
            <v>Thurs 1-3</v>
          </cell>
          <cell r="I140" t="str">
            <v>FOODPANTRY</v>
          </cell>
          <cell r="J140" t="str">
            <v>252-752-3482</v>
          </cell>
          <cell r="K140" t="str">
            <v>G1098</v>
          </cell>
          <cell r="L140" t="str">
            <v>G1098FP</v>
          </cell>
          <cell r="M140" t="str">
            <v>Saint Paul's Episcopal Church</v>
          </cell>
        </row>
        <row r="141">
          <cell r="H141" t="str">
            <v>every other Tues 10a.m.-12p.m. (sharp)</v>
          </cell>
          <cell r="I141" t="str">
            <v>FOODPANTRY</v>
          </cell>
          <cell r="J141" t="str">
            <v>252-757-3259</v>
          </cell>
          <cell r="K141" t="str">
            <v>G1099</v>
          </cell>
          <cell r="L141" t="str">
            <v>G1099FP</v>
          </cell>
          <cell r="M141" t="str">
            <v>Saint Peter Catholic Church</v>
          </cell>
        </row>
        <row r="142">
          <cell r="H142" t="str">
            <v>3rd Monday 9-11am and by emergency</v>
          </cell>
          <cell r="I142" t="str">
            <v>DIRECT DST</v>
          </cell>
          <cell r="J142" t="str">
            <v>252-206-9996</v>
          </cell>
          <cell r="K142" t="str">
            <v>G1100</v>
          </cell>
          <cell r="L142" t="str">
            <v>G1100MFP</v>
          </cell>
          <cell r="M142" t="str">
            <v>Saint Marks/ La Guadalupana</v>
          </cell>
        </row>
        <row r="143">
          <cell r="H143" t="str">
            <v>2nd Friday and 4th Friday at 8 am and emergency calls during the week</v>
          </cell>
          <cell r="I143" t="str">
            <v>FOODPANTRY</v>
          </cell>
          <cell r="J143" t="str">
            <v>252-717-8106</v>
          </cell>
          <cell r="K143" t="str">
            <v>G1101</v>
          </cell>
          <cell r="L143" t="str">
            <v>G1101FP</v>
          </cell>
          <cell r="M143" t="str">
            <v>Saint Paul Church of Christ</v>
          </cell>
        </row>
        <row r="144">
          <cell r="H144" t="str">
            <v>2/4 Saturday 9a-11a</v>
          </cell>
          <cell r="I144" t="str">
            <v>FOODPANTRY</v>
          </cell>
          <cell r="J144" t="str">
            <v>252-227-1114</v>
          </cell>
          <cell r="K144" t="str">
            <v>G1102</v>
          </cell>
          <cell r="L144" t="str">
            <v>G1102FP</v>
          </cell>
          <cell r="M144" t="str">
            <v>Saint Peter's Development Center</v>
          </cell>
        </row>
        <row r="145">
          <cell r="H145" t="str">
            <v>4th Friday 5p-7p</v>
          </cell>
          <cell r="I145" t="str">
            <v>FOODPANTRY</v>
          </cell>
          <cell r="J145" t="str">
            <v>252-327-8208</v>
          </cell>
          <cell r="K145" t="str">
            <v>G1103</v>
          </cell>
          <cell r="L145" t="str">
            <v>G1103FP</v>
          </cell>
          <cell r="M145" t="str">
            <v>Staton Mill Road Community</v>
          </cell>
        </row>
        <row r="146">
          <cell r="H146" t="str">
            <v>Monday through Friday from 2:30p-5:30p</v>
          </cell>
          <cell r="I146" t="str">
            <v>FOODPANTRY</v>
          </cell>
          <cell r="J146" t="str">
            <v>252-746-8565</v>
          </cell>
          <cell r="K146" t="str">
            <v>G1105</v>
          </cell>
          <cell r="L146" t="str">
            <v>G1105FP</v>
          </cell>
          <cell r="M146" t="str">
            <v>Straightway Church</v>
          </cell>
        </row>
        <row r="147">
          <cell r="H147" t="str">
            <v>3rd Saturday 8am-10am</v>
          </cell>
          <cell r="I147" t="str">
            <v>FOODPANTRY</v>
          </cell>
          <cell r="J147" t="str">
            <v>252-315-2249</v>
          </cell>
          <cell r="K147" t="str">
            <v>G1107</v>
          </cell>
          <cell r="L147" t="str">
            <v>G1107FP</v>
          </cell>
          <cell r="M147" t="str">
            <v>Tabernacle of God Community</v>
          </cell>
        </row>
        <row r="148">
          <cell r="H148" t="str">
            <v>Mon-Thursday 12pm-1pm; Friday 8am-11am</v>
          </cell>
          <cell r="I148" t="str">
            <v>FOODPANTRY</v>
          </cell>
          <cell r="J148" t="str">
            <v>252-823-8801</v>
          </cell>
          <cell r="K148" t="str">
            <v>G1108</v>
          </cell>
          <cell r="L148" t="str">
            <v>G1108FP</v>
          </cell>
          <cell r="M148" t="str">
            <v>Tarboro Community Outreach</v>
          </cell>
        </row>
        <row r="149">
          <cell r="H149" t="str">
            <v>3rd Tuesday 10a-1p</v>
          </cell>
          <cell r="I149" t="str">
            <v>DIRECT DST</v>
          </cell>
          <cell r="J149" t="str">
            <v>252-823-8801</v>
          </cell>
          <cell r="K149" t="str">
            <v>G1108</v>
          </cell>
          <cell r="L149" t="str">
            <v>G1108MFP</v>
          </cell>
          <cell r="M149" t="str">
            <v>Tarboro Community Outreach</v>
          </cell>
        </row>
        <row r="150">
          <cell r="H150" t="str">
            <v>Mon-Tues 11:30am-12:15pm, Thurs 10a-12p &amp; 1p-4p, Fri 11:30am-12:15pm &amp; Sat. 9am-11am</v>
          </cell>
          <cell r="I150" t="str">
            <v>FOODPANTRY</v>
          </cell>
          <cell r="K150" t="str">
            <v>G1111</v>
          </cell>
          <cell r="L150" t="str">
            <v>G1111FP</v>
          </cell>
          <cell r="M150" t="str">
            <v>The Anointed Ones Church</v>
          </cell>
        </row>
        <row r="151">
          <cell r="H151" t="str">
            <v>2nd &amp; 4th Tuesdays 1:00pm-2:00pm, Drive-thru</v>
          </cell>
          <cell r="I151" t="str">
            <v>FOODPANTRY</v>
          </cell>
          <cell r="J151" t="str">
            <v>252-714-7373</v>
          </cell>
          <cell r="K151" t="str">
            <v>G1112</v>
          </cell>
          <cell r="L151" t="str">
            <v>G1112FP</v>
          </cell>
          <cell r="M151" t="str">
            <v>The Memorial Baptist Church</v>
          </cell>
        </row>
        <row r="152">
          <cell r="H152" t="str">
            <v>3rd Sat. 8am-10am</v>
          </cell>
          <cell r="I152" t="str">
            <v>FOODPANTRY</v>
          </cell>
          <cell r="J152" t="str">
            <v>252-535-1276</v>
          </cell>
          <cell r="K152" t="str">
            <v>G1114</v>
          </cell>
          <cell r="L152" t="str">
            <v>G1114FP</v>
          </cell>
          <cell r="M152" t="str">
            <v>The Way of the Cross Outreach</v>
          </cell>
        </row>
        <row r="153">
          <cell r="H153" t="str">
            <v>Wednesday after the 2nd Tuesday 9am-12pm and by emergency</v>
          </cell>
          <cell r="I153" t="str">
            <v>FOODPANTRY</v>
          </cell>
          <cell r="J153" t="str">
            <v>252-326-6212</v>
          </cell>
          <cell r="K153" t="str">
            <v>G1116</v>
          </cell>
          <cell r="L153" t="str">
            <v>G1116FP</v>
          </cell>
          <cell r="M153" t="str">
            <v>Twilight Missionary Baptist</v>
          </cell>
        </row>
        <row r="154">
          <cell r="H154" t="str">
            <v>Monday - Thursday from 1pm-2pm.</v>
          </cell>
          <cell r="I154" t="str">
            <v>FOODPANTRY</v>
          </cell>
          <cell r="J154" t="str">
            <v>252-537-3372</v>
          </cell>
          <cell r="K154" t="str">
            <v>G1117</v>
          </cell>
          <cell r="L154" t="str">
            <v>G1117FP</v>
          </cell>
          <cell r="M154" t="str">
            <v>Union Mission, Inc</v>
          </cell>
        </row>
        <row r="155">
          <cell r="H155" t="str">
            <v>7 days/week and 24 hours per day</v>
          </cell>
          <cell r="I155" t="str">
            <v>SHELTER</v>
          </cell>
          <cell r="J155" t="str">
            <v>252-537-3372</v>
          </cell>
          <cell r="K155" t="str">
            <v>G1117</v>
          </cell>
          <cell r="L155" t="str">
            <v>G1117SH</v>
          </cell>
          <cell r="M155" t="str">
            <v>Union Mission, Inc</v>
          </cell>
        </row>
        <row r="156">
          <cell r="H156" t="str">
            <v>1st/3rd Tuesday from 2p-4p and calls</v>
          </cell>
          <cell r="I156" t="str">
            <v>FOODPANTRY</v>
          </cell>
          <cell r="J156" t="str">
            <v>252-367-6527</v>
          </cell>
          <cell r="K156" t="str">
            <v>G1119</v>
          </cell>
          <cell r="L156" t="str">
            <v>G1119FP</v>
          </cell>
          <cell r="M156" t="str">
            <v>Victory &amp; Dominion</v>
          </cell>
        </row>
        <row r="157">
          <cell r="H157" t="str">
            <v>M, W, F 9-11:30 curbside only</v>
          </cell>
          <cell r="I157" t="str">
            <v>FOODPANTRY</v>
          </cell>
          <cell r="J157" t="str">
            <v>252-291-7278</v>
          </cell>
          <cell r="K157" t="str">
            <v>G1123</v>
          </cell>
          <cell r="L157" t="str">
            <v>G1123FP</v>
          </cell>
          <cell r="M157" t="str">
            <v>Wilson County Interfaith</v>
          </cell>
        </row>
        <row r="158">
          <cell r="H158" t="str">
            <v>Every 3rd Thursday at 9a-11:30a</v>
          </cell>
          <cell r="I158" t="str">
            <v>DIRECT DST</v>
          </cell>
          <cell r="J158" t="str">
            <v>252-291-7278</v>
          </cell>
          <cell r="K158" t="str">
            <v>G1123</v>
          </cell>
          <cell r="L158" t="str">
            <v>G1123MFP</v>
          </cell>
          <cell r="M158" t="str">
            <v>Wilson County Interfaith</v>
          </cell>
        </row>
        <row r="159">
          <cell r="H159" t="str">
            <v>24 hrs</v>
          </cell>
          <cell r="I159" t="str">
            <v>SHELTER</v>
          </cell>
          <cell r="J159" t="str">
            <v>252-291-7278</v>
          </cell>
          <cell r="K159" t="str">
            <v>G1123</v>
          </cell>
          <cell r="L159" t="str">
            <v>G1123SH</v>
          </cell>
          <cell r="M159" t="str">
            <v>Wilson County Interfaith</v>
          </cell>
        </row>
        <row r="160">
          <cell r="H160" t="str">
            <v>Fridays 1pm-6pm (Except 5th Fridays)</v>
          </cell>
          <cell r="I160" t="str">
            <v>FOODPANTRY</v>
          </cell>
          <cell r="J160" t="str">
            <v>252-341-9949</v>
          </cell>
          <cell r="K160" t="str">
            <v>G1124</v>
          </cell>
          <cell r="L160" t="str">
            <v>G1124FP</v>
          </cell>
          <cell r="M160" t="str">
            <v>Word of Truth</v>
          </cell>
        </row>
        <row r="161">
          <cell r="H161" t="str">
            <v>Wednesdays from 10-11am</v>
          </cell>
          <cell r="I161" t="str">
            <v>FOODPANTRY</v>
          </cell>
          <cell r="K161" t="str">
            <v>G1126</v>
          </cell>
          <cell r="L161" t="str">
            <v>G1126FP</v>
          </cell>
          <cell r="M161" t="str">
            <v>You Need Help Outreach</v>
          </cell>
        </row>
        <row r="162">
          <cell r="H162" t="str">
            <v>Wednesdays from 10-11am</v>
          </cell>
          <cell r="I162" t="str">
            <v>DIRECT DST</v>
          </cell>
          <cell r="J162" t="str">
            <v>919-591-1968</v>
          </cell>
          <cell r="K162" t="str">
            <v>G1126</v>
          </cell>
          <cell r="L162" t="str">
            <v>G1126MFP</v>
          </cell>
          <cell r="M162" t="str">
            <v>You Need Help Ministry</v>
          </cell>
        </row>
        <row r="163">
          <cell r="H163" t="str">
            <v>Sundays from 1:30-3p</v>
          </cell>
          <cell r="I163" t="str">
            <v>FOODPANTRY</v>
          </cell>
          <cell r="J163" t="str">
            <v>252-367-9081</v>
          </cell>
          <cell r="K163" t="str">
            <v>G1219</v>
          </cell>
          <cell r="L163" t="str">
            <v>G1219FP</v>
          </cell>
          <cell r="M163" t="str">
            <v>Spirit &amp; Truth Worship Center</v>
          </cell>
        </row>
        <row r="164">
          <cell r="H164" t="str">
            <v>4th Tuesday, 10 am- 12 pm, Monday after 4th Tuesday at 10am</v>
          </cell>
          <cell r="I164" t="str">
            <v>FOODPANTRY</v>
          </cell>
          <cell r="J164" t="str">
            <v>252-406-2872</v>
          </cell>
          <cell r="K164" t="str">
            <v>G1225</v>
          </cell>
          <cell r="L164" t="str">
            <v>G1225FP</v>
          </cell>
          <cell r="M164" t="str">
            <v>Love N Action Outreach Inc.</v>
          </cell>
        </row>
        <row r="165">
          <cell r="H165" t="str">
            <v>Every Wednesday 10a-12p</v>
          </cell>
          <cell r="I165" t="str">
            <v>FOODPANTRY</v>
          </cell>
          <cell r="J165" t="str">
            <v>252-253-8229</v>
          </cell>
          <cell r="K165" t="str">
            <v>G1233</v>
          </cell>
          <cell r="L165" t="str">
            <v>G1233FP</v>
          </cell>
          <cell r="M165" t="str">
            <v>Zion Chapel Food Pantry</v>
          </cell>
        </row>
        <row r="166">
          <cell r="H166" t="str">
            <v>Monday, Wednesday 1-3pm; Wednesday evenings 5-6pm</v>
          </cell>
          <cell r="I166" t="str">
            <v>FOODPANTRY</v>
          </cell>
          <cell r="J166" t="str">
            <v>252-822-2442</v>
          </cell>
          <cell r="K166" t="str">
            <v>G1237</v>
          </cell>
          <cell r="L166" t="str">
            <v>G1237FP</v>
          </cell>
          <cell r="M166" t="str">
            <v>House of Resurrection</v>
          </cell>
        </row>
        <row r="167">
          <cell r="H167" t="str">
            <v>every other Thursday 3:30pm</v>
          </cell>
          <cell r="I167" t="str">
            <v>FOODPANTRY</v>
          </cell>
          <cell r="K167" t="str">
            <v>G1245</v>
          </cell>
          <cell r="L167" t="str">
            <v>G1245FP3</v>
          </cell>
          <cell r="M167" t="str">
            <v>MrCharity Inc. DBA Beast Philanthropy</v>
          </cell>
        </row>
        <row r="168">
          <cell r="H168" t="str">
            <v>every other Saturday 11:00am-12:00pm</v>
          </cell>
          <cell r="I168" t="str">
            <v>FOODPANTRY</v>
          </cell>
          <cell r="K168" t="str">
            <v>G1245</v>
          </cell>
          <cell r="L168" t="str">
            <v>G1245FP4</v>
          </cell>
          <cell r="M168" t="str">
            <v>MrCharity Inc. DBA Beast Philanthropy</v>
          </cell>
        </row>
        <row r="169">
          <cell r="H169" t="str">
            <v>Every Tuesday 4-6pm</v>
          </cell>
          <cell r="I169" t="str">
            <v>FOODPANTRY</v>
          </cell>
          <cell r="J169" t="str">
            <v>252-674-1593</v>
          </cell>
          <cell r="K169" t="str">
            <v>G1246</v>
          </cell>
          <cell r="L169" t="str">
            <v>G1246FP</v>
          </cell>
          <cell r="M169" t="str">
            <v>Rhema Word Christian Center/Wilson</v>
          </cell>
        </row>
        <row r="170">
          <cell r="H170" t="str">
            <v>Thursdays 12pm-2pm</v>
          </cell>
          <cell r="I170" t="str">
            <v>FOODPANTRY</v>
          </cell>
          <cell r="J170" t="str">
            <v>252-917-4050</v>
          </cell>
          <cell r="K170" t="str">
            <v>G1247</v>
          </cell>
          <cell r="L170" t="str">
            <v>G1247FP</v>
          </cell>
          <cell r="M170" t="str">
            <v>Last Days Tabernacle</v>
          </cell>
        </row>
        <row r="171">
          <cell r="H171" t="str">
            <v>1st Wed/3rd Sat 10:00am-11:15am</v>
          </cell>
          <cell r="I171" t="str">
            <v>FOODPANTRY</v>
          </cell>
          <cell r="J171" t="str">
            <v>252-947-0225</v>
          </cell>
          <cell r="K171" t="str">
            <v>G1249</v>
          </cell>
          <cell r="L171" t="str">
            <v>G1249FP</v>
          </cell>
          <cell r="M171" t="str">
            <v>Triumph Missionary Baptist Church</v>
          </cell>
        </row>
        <row r="172">
          <cell r="H172" t="str">
            <v>2nd Tuesday 3pm-6:30pm 4th Saturday 10am-2pm</v>
          </cell>
          <cell r="I172" t="str">
            <v>FOODPANTRY</v>
          </cell>
          <cell r="K172" t="str">
            <v>G1252</v>
          </cell>
          <cell r="L172" t="str">
            <v>G1252FP</v>
          </cell>
          <cell r="M172" t="str">
            <v>Cornerstone Missionary Baptist Church</v>
          </cell>
        </row>
        <row r="173">
          <cell r="H173" t="str">
            <v>1st Saturday, 3rd Wednesday 10AM-12PM</v>
          </cell>
          <cell r="I173" t="str">
            <v>FOODPANTRY</v>
          </cell>
          <cell r="J173" t="str">
            <v>252-527-0896</v>
          </cell>
          <cell r="K173" t="str">
            <v>G1253</v>
          </cell>
          <cell r="L173" t="str">
            <v>G1253FP</v>
          </cell>
          <cell r="M173" t="str">
            <v>Macedonia Church of Lenoir County</v>
          </cell>
        </row>
        <row r="174">
          <cell r="H174" t="str">
            <v>1st/3rd Tuesdays 12pm-2pm</v>
          </cell>
          <cell r="I174" t="str">
            <v>FOODPANTRY</v>
          </cell>
          <cell r="K174" t="str">
            <v>G1254</v>
          </cell>
          <cell r="L174" t="str">
            <v>G1254FP</v>
          </cell>
          <cell r="M174" t="str">
            <v>Greater Judah Corporation</v>
          </cell>
        </row>
        <row r="175">
          <cell r="H175" t="str">
            <v>2nd Monday at 8am; 4th Monday at 11am</v>
          </cell>
          <cell r="I175" t="str">
            <v>FOODPANTRY</v>
          </cell>
          <cell r="J175" t="str">
            <v>919-920-9961</v>
          </cell>
          <cell r="K175" t="str">
            <v>G1259</v>
          </cell>
          <cell r="L175" t="str">
            <v>G1259FP</v>
          </cell>
          <cell r="M175" t="str">
            <v>NC Seeds of Love</v>
          </cell>
        </row>
        <row r="176">
          <cell r="H176" t="str">
            <v>3rd Saturdays 12pm-2pm</v>
          </cell>
          <cell r="I176" t="str">
            <v>FOODPANTRY</v>
          </cell>
          <cell r="J176" t="str">
            <v>252-289-6479</v>
          </cell>
          <cell r="K176" t="str">
            <v>G1260</v>
          </cell>
          <cell r="L176" t="str">
            <v>G1260FP</v>
          </cell>
          <cell r="M176" t="str">
            <v>Wilson Chapel Free Will Baptist Church</v>
          </cell>
        </row>
        <row r="177">
          <cell r="H177" t="str">
            <v>Deliveries to senior center on Thursdays, weekly MOW grocery delivery</v>
          </cell>
          <cell r="I177" t="str">
            <v>FOODPANTRY</v>
          </cell>
          <cell r="K177" t="str">
            <v>G1261</v>
          </cell>
          <cell r="L177" t="str">
            <v>G1261FP</v>
          </cell>
          <cell r="M177" t="str">
            <v>First Christian Church</v>
          </cell>
        </row>
        <row r="178">
          <cell r="H178" t="str">
            <v>3rd&amp;1st Friday at 1pm. Pantry is open for walkins on Tuesday 10-12, 2nd and 4th Sat 10-12</v>
          </cell>
          <cell r="I178" t="str">
            <v>FOODPANTRY</v>
          </cell>
          <cell r="J178" t="str">
            <v>910-455-3888 (public)</v>
          </cell>
          <cell r="K178" t="str">
            <v>N1001</v>
          </cell>
          <cell r="L178" t="str">
            <v>N1001FP</v>
          </cell>
          <cell r="M178" t="str">
            <v>Abundant Life International</v>
          </cell>
        </row>
        <row r="179">
          <cell r="H179" t="str">
            <v>2nd Tuesday 11am</v>
          </cell>
          <cell r="I179" t="str">
            <v>FOODPANTRY</v>
          </cell>
          <cell r="J179" t="str">
            <v>(252) 633-3376</v>
          </cell>
          <cell r="K179" t="str">
            <v>N1002</v>
          </cell>
          <cell r="L179" t="str">
            <v>N1002FP</v>
          </cell>
          <cell r="M179" t="str">
            <v>Abundant Life Miracle Center</v>
          </cell>
        </row>
        <row r="180">
          <cell r="H180" t="str">
            <v>2nd Tuesday 11am</v>
          </cell>
          <cell r="I180" t="str">
            <v>DIRECT DST</v>
          </cell>
          <cell r="J180" t="str">
            <v>(252) 633-3376</v>
          </cell>
          <cell r="K180" t="str">
            <v>N1002</v>
          </cell>
          <cell r="L180" t="str">
            <v>N1002MFP</v>
          </cell>
          <cell r="M180" t="str">
            <v>Abundant Life Miracle Center</v>
          </cell>
        </row>
        <row r="181">
          <cell r="H181" t="str">
            <v>1st &amp; 3rd Wednesday @ 12pm</v>
          </cell>
          <cell r="I181" t="str">
            <v>FOODPANTRY</v>
          </cell>
          <cell r="J181" t="str">
            <v>252-447-1600</v>
          </cell>
          <cell r="K181" t="str">
            <v>N1004</v>
          </cell>
          <cell r="L181" t="str">
            <v>N1004FP</v>
          </cell>
          <cell r="M181" t="str">
            <v>Adelphia CDC Inc - Piney Grove AME Zion Church</v>
          </cell>
        </row>
        <row r="182">
          <cell r="H182" t="str">
            <v>Food distribution is held on the 1st and 3rd Thursday of each month, beginning at 9 AM, and continues until supplies run out.</v>
          </cell>
          <cell r="I182" t="str">
            <v>FOODPANTRY</v>
          </cell>
          <cell r="J182" t="str">
            <v>910-238-2389</v>
          </cell>
          <cell r="K182" t="str">
            <v>N1004</v>
          </cell>
          <cell r="L182" t="str">
            <v>N1004FP2</v>
          </cell>
          <cell r="M182" t="str">
            <v>Adelphia CDC Inc - Midway Park</v>
          </cell>
        </row>
        <row r="183">
          <cell r="H183" t="str">
            <v>Food distribution is held on the 4th Tuesday of each month, beginning at 10:30 AM, and continues until supplies run out.</v>
          </cell>
          <cell r="I183" t="str">
            <v>DIRECT DST</v>
          </cell>
          <cell r="J183" t="str">
            <v>910-238-2389</v>
          </cell>
          <cell r="K183" t="str">
            <v>N1004</v>
          </cell>
          <cell r="L183" t="str">
            <v>N1004MFP2</v>
          </cell>
          <cell r="M183" t="str">
            <v>Adelphia CDC Inc - St Mark</v>
          </cell>
        </row>
        <row r="184">
          <cell r="H184" t="str">
            <v>Food distribution is held on the 4th Tuesday of each month, beginning at 1:00 PM, and continues until supplies run out.</v>
          </cell>
          <cell r="I184" t="str">
            <v>DIRECT DST</v>
          </cell>
          <cell r="J184" t="str">
            <v>910-238-2389</v>
          </cell>
          <cell r="K184" t="str">
            <v>N1004</v>
          </cell>
          <cell r="L184" t="str">
            <v>N1004MPF3</v>
          </cell>
          <cell r="M184" t="str">
            <v>Adelphia CDC Inc - Wesley Chapel</v>
          </cell>
        </row>
        <row r="185">
          <cell r="H185" t="str">
            <v>2nd Wednesday from 3pm-6pm/Emergency as needed 252-514-1567</v>
          </cell>
          <cell r="I185" t="str">
            <v>FOODPANTRY</v>
          </cell>
          <cell r="J185" t="str">
            <v>252-617-9064</v>
          </cell>
          <cell r="K185" t="str">
            <v>N1006</v>
          </cell>
          <cell r="L185" t="str">
            <v>N1006FP</v>
          </cell>
          <cell r="M185" t="str">
            <v>Antioch Community Outreach Inc</v>
          </cell>
        </row>
        <row r="186">
          <cell r="H186" t="str">
            <v>1st and 3rd Saturday at 9am</v>
          </cell>
          <cell r="I186" t="str">
            <v>FOODPANTRY</v>
          </cell>
          <cell r="J186" t="str">
            <v>252-638-3474</v>
          </cell>
          <cell r="K186" t="str">
            <v>N1011</v>
          </cell>
          <cell r="L186" t="str">
            <v>N1011FP</v>
          </cell>
          <cell r="M186" t="str">
            <v>Word of God Christian Center</v>
          </cell>
        </row>
        <row r="187">
          <cell r="H187" t="str">
            <v>Monday 10am-2pm</v>
          </cell>
          <cell r="I187" t="str">
            <v>FOODPANTRY</v>
          </cell>
          <cell r="J187" t="str">
            <v>252-504-0123/252-838-9035</v>
          </cell>
          <cell r="K187" t="str">
            <v>N1014</v>
          </cell>
          <cell r="L187" t="str">
            <v>N1014FP</v>
          </cell>
          <cell r="M187" t="str">
            <v>Calvary Baptist Church</v>
          </cell>
        </row>
        <row r="188">
          <cell r="H188" t="str">
            <v>4th Thursday at 1pm</v>
          </cell>
          <cell r="I188" t="str">
            <v>DIRECT DST</v>
          </cell>
          <cell r="J188" t="str">
            <v>252-504-0123/252-838-9035</v>
          </cell>
          <cell r="K188" t="str">
            <v>N1014</v>
          </cell>
          <cell r="L188" t="str">
            <v>N1014MFP</v>
          </cell>
          <cell r="M188" t="str">
            <v>Calvary Baptist Church</v>
          </cell>
        </row>
        <row r="189">
          <cell r="H189" t="str">
            <v>3rd Monday, 10AM</v>
          </cell>
          <cell r="I189" t="str">
            <v>DIRECT DST</v>
          </cell>
          <cell r="K189" t="str">
            <v>N1024</v>
          </cell>
          <cell r="L189" t="str">
            <v>N1024MFP</v>
          </cell>
          <cell r="M189" t="str">
            <v>First United Methodist Church</v>
          </cell>
        </row>
        <row r="190">
          <cell r="H190" t="str">
            <v>Monday &amp; Wednesday (Weekly) 10AM-11AM</v>
          </cell>
          <cell r="I190" t="str">
            <v>FOODPANTRY</v>
          </cell>
          <cell r="J190" t="str">
            <v>910-358-7510</v>
          </cell>
          <cell r="K190" t="str">
            <v>N1026</v>
          </cell>
          <cell r="L190" t="str">
            <v>N1026FP</v>
          </cell>
          <cell r="M190" t="str">
            <v>Folkstone Original Free Will</v>
          </cell>
        </row>
        <row r="191">
          <cell r="H191" t="str">
            <v>Second and Fourth Thursdays of the month from 10-12 noon</v>
          </cell>
          <cell r="I191" t="str">
            <v>FOODPANTRY</v>
          </cell>
          <cell r="J191" t="str">
            <v>252-726-8424</v>
          </cell>
          <cell r="K191" t="str">
            <v>N1030</v>
          </cell>
          <cell r="L191" t="str">
            <v>N1030FP</v>
          </cell>
          <cell r="M191" t="str">
            <v>God's City of Refuge Inc</v>
          </cell>
        </row>
        <row r="192">
          <cell r="H192" t="str">
            <v>Monday, Tues, Wed, and Friday from 10a-12p and 1p-2p</v>
          </cell>
          <cell r="I192" t="str">
            <v>FOODPANTRY</v>
          </cell>
          <cell r="J192" t="str">
            <v>252-447-5190</v>
          </cell>
          <cell r="K192" t="str">
            <v>N1031</v>
          </cell>
          <cell r="L192" t="str">
            <v>N1031FP</v>
          </cell>
          <cell r="M192" t="str">
            <v>Havelock Cherry Point</v>
          </cell>
        </row>
        <row r="193">
          <cell r="H193" t="str">
            <v>Thursday 9-11</v>
          </cell>
          <cell r="I193" t="str">
            <v>FOODPANTRY</v>
          </cell>
          <cell r="J193" t="str">
            <v>910-526-1202</v>
          </cell>
          <cell r="K193" t="str">
            <v>N1034</v>
          </cell>
          <cell r="L193" t="str">
            <v>N1034FP</v>
          </cell>
          <cell r="M193" t="str">
            <v>Iglesia de Dios Pentecostal</v>
          </cell>
        </row>
        <row r="194">
          <cell r="H194" t="str">
            <v>Tuesday &amp; Saturday 9AM-1PM</v>
          </cell>
          <cell r="I194" t="str">
            <v>FOODPANTRY</v>
          </cell>
          <cell r="K194" t="str">
            <v>N1038</v>
          </cell>
          <cell r="L194" t="str">
            <v>N1038FP</v>
          </cell>
          <cell r="M194" t="str">
            <v>JT Kerr Memorial Baptist</v>
          </cell>
        </row>
        <row r="195">
          <cell r="H195" t="str">
            <v>2nd and 4th Saturday of each month  10:00 am - 12:00 pm</v>
          </cell>
          <cell r="I195" t="str">
            <v>FOODPANTRY</v>
          </cell>
          <cell r="J195" t="str">
            <v>252-241-8687</v>
          </cell>
          <cell r="K195" t="str">
            <v>N1040</v>
          </cell>
          <cell r="L195" t="str">
            <v>N1040FP</v>
          </cell>
          <cell r="M195" t="str">
            <v>Lighthouse Community Church</v>
          </cell>
        </row>
        <row r="196">
          <cell r="H196" t="str">
            <v>1st Tuesday 10AM -12PM</v>
          </cell>
          <cell r="I196" t="str">
            <v>DIRECT DST</v>
          </cell>
          <cell r="J196" t="str">
            <v>252-225-7702</v>
          </cell>
          <cell r="K196" t="str">
            <v>N1040</v>
          </cell>
          <cell r="L196" t="str">
            <v>N1040MFP</v>
          </cell>
          <cell r="M196" t="str">
            <v>Lighthouse Community Church</v>
          </cell>
        </row>
        <row r="197">
          <cell r="H197" t="str">
            <v>Tuesday, Thursday &amp; Friday 12PM-4PM &amp; Saturday 10AM-2PM</v>
          </cell>
          <cell r="I197" t="str">
            <v>FOODPANTRY</v>
          </cell>
          <cell r="J197" t="str">
            <v>252-671-2547</v>
          </cell>
          <cell r="K197" t="str">
            <v>N1041</v>
          </cell>
          <cell r="L197" t="str">
            <v>N1041FP</v>
          </cell>
          <cell r="M197" t="str">
            <v>Living Bread Holiness Church</v>
          </cell>
        </row>
        <row r="198">
          <cell r="H198" t="str">
            <v>1st Friday at 10AM</v>
          </cell>
          <cell r="I198" t="str">
            <v>DIRECT DST</v>
          </cell>
          <cell r="J198" t="str">
            <v>252-671-2547</v>
          </cell>
          <cell r="K198" t="str">
            <v>N1041</v>
          </cell>
          <cell r="L198" t="str">
            <v>N1041MFP</v>
          </cell>
          <cell r="M198" t="str">
            <v>Living Bread Holiness Church</v>
          </cell>
        </row>
        <row r="199">
          <cell r="H199" t="str">
            <v>M, W, F 10:30a-3:00p</v>
          </cell>
          <cell r="I199" t="str">
            <v>FOODPANTRY</v>
          </cell>
          <cell r="J199" t="str">
            <v>252-726-1717</v>
          </cell>
          <cell r="K199" t="str">
            <v>N1044</v>
          </cell>
          <cell r="L199" t="str">
            <v>N1044FP</v>
          </cell>
          <cell r="M199" t="str">
            <v>Martha's Mission Cupboard</v>
          </cell>
        </row>
        <row r="200">
          <cell r="H200" t="str">
            <v>3rd Monday at 9AM</v>
          </cell>
          <cell r="I200" t="str">
            <v>DIRECT DST</v>
          </cell>
          <cell r="J200" t="str">
            <v>910-333-0453</v>
          </cell>
          <cell r="K200" t="str">
            <v>N1045</v>
          </cell>
          <cell r="L200" t="str">
            <v>N1045MFP</v>
          </cell>
          <cell r="M200" t="str">
            <v>Maysville Methodist Church</v>
          </cell>
        </row>
        <row r="201">
          <cell r="H201" t="str">
            <v>Monday-Sunday 10AM-7PM</v>
          </cell>
          <cell r="I201" t="str">
            <v>FOODPANTRY</v>
          </cell>
          <cell r="J201" t="str">
            <v>910-265-2609</v>
          </cell>
          <cell r="K201" t="str">
            <v>N1047</v>
          </cell>
          <cell r="L201" t="str">
            <v>N1047FP</v>
          </cell>
          <cell r="M201" t="str">
            <v>Mt Carmel Helps, Inc</v>
          </cell>
        </row>
        <row r="202">
          <cell r="H202" t="str">
            <v>M-F, 8am-3pm. Students/families of NBHS ONLY</v>
          </cell>
          <cell r="I202" t="str">
            <v>FOODPANTRY</v>
          </cell>
          <cell r="J202" t="str">
            <v>252-514-6041</v>
          </cell>
          <cell r="K202" t="str">
            <v>N1050</v>
          </cell>
          <cell r="L202" t="str">
            <v>N1050FP</v>
          </cell>
          <cell r="M202" t="str">
            <v>Bear Paws Food Pantry</v>
          </cell>
        </row>
        <row r="203">
          <cell r="H203" t="str">
            <v>Every 2nd Thursday at 9am</v>
          </cell>
          <cell r="I203" t="str">
            <v>DIRECT DST</v>
          </cell>
          <cell r="J203" t="str">
            <v>910-581-9390</v>
          </cell>
          <cell r="K203" t="str">
            <v>N1053</v>
          </cell>
          <cell r="L203" t="str">
            <v>N1053MFP</v>
          </cell>
          <cell r="M203" t="str">
            <v>New Hope Community Outreach</v>
          </cell>
        </row>
        <row r="204">
          <cell r="H204" t="str">
            <v>Thursday (weekly) - Lines begins around 7AM, distribution begins aat 9:30AM/10AM</v>
          </cell>
          <cell r="I204" t="str">
            <v>FOODPANTRY</v>
          </cell>
          <cell r="J204" t="str">
            <v>910-455-5733</v>
          </cell>
          <cell r="K204" t="str">
            <v>N1056</v>
          </cell>
          <cell r="L204" t="str">
            <v>N1056FP</v>
          </cell>
          <cell r="M204" t="str">
            <v>Onslow Community Outreach</v>
          </cell>
        </row>
        <row r="205">
          <cell r="H205" t="str">
            <v>2nd &amp; 4th Monday - Line begins around 7AM, distribution starts 9:30AM/10AM (Drive-Up)</v>
          </cell>
          <cell r="I205" t="str">
            <v>DIRECT DST</v>
          </cell>
          <cell r="J205" t="str">
            <v>910-455-5733</v>
          </cell>
          <cell r="K205" t="str">
            <v>N1056</v>
          </cell>
          <cell r="L205" t="str">
            <v>N1056MFP</v>
          </cell>
          <cell r="M205" t="str">
            <v>Onslow Community Outreach</v>
          </cell>
        </row>
        <row r="206">
          <cell r="H206" t="str">
            <v xml:space="preserve">Shelter intake by appointment only. Call 910-238-4025 </v>
          </cell>
          <cell r="I206" t="str">
            <v>SHELTER</v>
          </cell>
          <cell r="J206" t="str">
            <v>910-455-5733</v>
          </cell>
          <cell r="K206" t="str">
            <v>N1056</v>
          </cell>
          <cell r="L206" t="str">
            <v>N1056SH</v>
          </cell>
          <cell r="M206" t="str">
            <v>Onslow Community Outreach</v>
          </cell>
        </row>
        <row r="207">
          <cell r="H207" t="str">
            <v>M-F 11am-12pm</v>
          </cell>
          <cell r="I207" t="str">
            <v>SOUP KITCH</v>
          </cell>
          <cell r="J207" t="str">
            <v>910-455-5733</v>
          </cell>
          <cell r="K207" t="str">
            <v>N1056</v>
          </cell>
          <cell r="L207" t="str">
            <v>N1056SK</v>
          </cell>
          <cell r="M207" t="str">
            <v>Onslow Community Outreach</v>
          </cell>
        </row>
        <row r="208">
          <cell r="H208" t="str">
            <v>Thursday 9-12, second Friday 9-12 (TEFAP)</v>
          </cell>
          <cell r="I208" t="str">
            <v>FOODPANTRY</v>
          </cell>
          <cell r="J208" t="str">
            <v>910-938-3855 ext.10</v>
          </cell>
          <cell r="K208" t="str">
            <v>N1058</v>
          </cell>
          <cell r="L208" t="str">
            <v>N1058FP</v>
          </cell>
          <cell r="M208" t="str">
            <v>Open Door Management Inc</v>
          </cell>
        </row>
        <row r="209">
          <cell r="H209" t="str">
            <v>Every 2nd Friday at 9a</v>
          </cell>
          <cell r="I209" t="str">
            <v>DIRECT DST</v>
          </cell>
          <cell r="J209" t="str">
            <v>910-577-4175</v>
          </cell>
          <cell r="K209" t="str">
            <v>N1058</v>
          </cell>
          <cell r="L209" t="str">
            <v>N1058MFP</v>
          </cell>
          <cell r="M209" t="str">
            <v>Open Door Management Inc</v>
          </cell>
        </row>
        <row r="210">
          <cell r="H210" t="str">
            <v>1st Friday 5:30pm-7pm | 1st, 2nd &amp; 3rd Tuesday and Thursday 11am-1pm</v>
          </cell>
          <cell r="I210" t="str">
            <v>FOODPANTRY</v>
          </cell>
          <cell r="J210" t="str">
            <v>252-249-6181</v>
          </cell>
          <cell r="K210" t="str">
            <v>N1059</v>
          </cell>
          <cell r="L210" t="str">
            <v>N1059FP</v>
          </cell>
          <cell r="M210" t="str">
            <v>Pamlico County Fishes &amp; Loaves</v>
          </cell>
        </row>
        <row r="211">
          <cell r="H211" t="str">
            <v>1st Wednesday at 9:30AM</v>
          </cell>
          <cell r="I211" t="str">
            <v>DIRECT DST</v>
          </cell>
          <cell r="J211" t="str">
            <v>252-249-6181</v>
          </cell>
          <cell r="K211" t="str">
            <v>N1059</v>
          </cell>
          <cell r="L211" t="str">
            <v>N1059MFP</v>
          </cell>
          <cell r="M211" t="str">
            <v>Pamlico County Fishes &amp; Loaves</v>
          </cell>
        </row>
        <row r="212">
          <cell r="H212" t="str">
            <v>2nd Wed 10-12</v>
          </cell>
          <cell r="I212" t="str">
            <v>FOODPANTRY</v>
          </cell>
          <cell r="J212" t="str">
            <v>(252) 745-3266</v>
          </cell>
          <cell r="K212" t="str">
            <v>N1062</v>
          </cell>
          <cell r="L212" t="str">
            <v>N1062FP</v>
          </cell>
          <cell r="M212" t="str">
            <v>Reelsboro United Christian Services</v>
          </cell>
        </row>
        <row r="213">
          <cell r="H213" t="str">
            <v>Monday to Friday 9AM-4PM - By appointment for Clients served within the last 3 months - walk-ins available for new clients or those not served within the last 3 months</v>
          </cell>
          <cell r="I213" t="str">
            <v>FOODPANTRY</v>
          </cell>
          <cell r="K213" t="str">
            <v>N1063</v>
          </cell>
          <cell r="L213" t="str">
            <v>N1063FP</v>
          </cell>
          <cell r="M213" t="str">
            <v>Religious Community Services</v>
          </cell>
        </row>
        <row r="214">
          <cell r="H214" t="str">
            <v>1st Wednesday 5:30pm-7:30pm</v>
          </cell>
          <cell r="I214" t="str">
            <v>DIRECT DST</v>
          </cell>
          <cell r="K214" t="str">
            <v>N1063</v>
          </cell>
          <cell r="L214" t="str">
            <v>N1063MFP</v>
          </cell>
          <cell r="M214" t="str">
            <v>Religious Community Services</v>
          </cell>
        </row>
        <row r="215">
          <cell r="H215" t="str">
            <v>3rd Wednesday 5:30pm-7:30pm</v>
          </cell>
          <cell r="I215" t="str">
            <v>DIRECT DST</v>
          </cell>
          <cell r="K215" t="str">
            <v>N1063</v>
          </cell>
          <cell r="L215" t="str">
            <v>N1063MFP2</v>
          </cell>
          <cell r="M215" t="str">
            <v>Religious Community Services</v>
          </cell>
        </row>
        <row r="216">
          <cell r="H216" t="str">
            <v>M-Sun 3pm-7am</v>
          </cell>
          <cell r="I216" t="str">
            <v>SHELTER</v>
          </cell>
          <cell r="K216" t="str">
            <v>N1063</v>
          </cell>
          <cell r="L216" t="str">
            <v>N1063SH</v>
          </cell>
          <cell r="M216" t="str">
            <v>Religious Community Services -Shelter</v>
          </cell>
        </row>
        <row r="217">
          <cell r="H217" t="str">
            <v>Lunch served Mondays to Saturdays from 10:30AM to 11:45AM | Breakfast served Sundays at 9AM</v>
          </cell>
          <cell r="I217" t="str">
            <v>SOUP KITCH</v>
          </cell>
          <cell r="K217" t="str">
            <v>N1063</v>
          </cell>
          <cell r="L217" t="str">
            <v>N1063SK</v>
          </cell>
          <cell r="M217" t="str">
            <v>Religious Community Services</v>
          </cell>
        </row>
        <row r="218">
          <cell r="H218" t="str">
            <v>M, T, Th, F 10a-2p; Sat 9a-3p</v>
          </cell>
          <cell r="I218" t="str">
            <v>FOODPANTRY</v>
          </cell>
          <cell r="J218" t="str">
            <v>910-324-6586</v>
          </cell>
          <cell r="K218" t="str">
            <v>N1064</v>
          </cell>
          <cell r="L218" t="str">
            <v>N1064FP</v>
          </cell>
          <cell r="M218" t="str">
            <v>Richlands Community Outreach</v>
          </cell>
        </row>
        <row r="219">
          <cell r="H219" t="str">
            <v>Every 1st Monday at 11a</v>
          </cell>
          <cell r="I219" t="str">
            <v>DIRECT DST</v>
          </cell>
          <cell r="J219" t="str">
            <v>910-324-6586</v>
          </cell>
          <cell r="K219" t="str">
            <v>N1064</v>
          </cell>
          <cell r="L219" t="str">
            <v>N1064MFP</v>
          </cell>
          <cell r="M219" t="str">
            <v>Richlands Community Outreach</v>
          </cell>
        </row>
        <row r="220">
          <cell r="H220" t="str">
            <v>Monday through Friday from 9a-5p</v>
          </cell>
          <cell r="I220" t="str">
            <v>FOODPANTRY</v>
          </cell>
          <cell r="J220" t="str">
            <v>252-726-7147</v>
          </cell>
          <cell r="K220" t="str">
            <v>N1065</v>
          </cell>
          <cell r="L220" t="str">
            <v>N1065FP</v>
          </cell>
          <cell r="M220" t="str">
            <v>Salvation Army Carteret Co</v>
          </cell>
        </row>
        <row r="221">
          <cell r="H221" t="str">
            <v>Monday - Friday 1PM to 3PM</v>
          </cell>
          <cell r="I221" t="str">
            <v>FOODPANTRY</v>
          </cell>
          <cell r="J221" t="str">
            <v>910-333-0453</v>
          </cell>
          <cell r="K221" t="str">
            <v>N1067</v>
          </cell>
          <cell r="L221" t="str">
            <v>N1067FP1</v>
          </cell>
          <cell r="M221" t="str">
            <v>Salvation Army-Jacksonville</v>
          </cell>
        </row>
        <row r="222">
          <cell r="H222" t="str">
            <v>4th Wednesday at 9am, distribution after</v>
          </cell>
          <cell r="I222" t="str">
            <v>DIRECT DST</v>
          </cell>
          <cell r="J222" t="str">
            <v>910-333-0453</v>
          </cell>
          <cell r="K222" t="str">
            <v>N1067</v>
          </cell>
          <cell r="L222" t="str">
            <v>N1067MFP</v>
          </cell>
          <cell r="M222" t="str">
            <v>Salvation Army-Jacksonville</v>
          </cell>
        </row>
        <row r="223">
          <cell r="H223" t="str">
            <v>2nd Tuesday at 10AM</v>
          </cell>
          <cell r="I223" t="str">
            <v>DIRECT DST</v>
          </cell>
          <cell r="J223" t="str">
            <v>910-333-0453</v>
          </cell>
          <cell r="K223" t="str">
            <v>N1067</v>
          </cell>
          <cell r="L223" t="str">
            <v>N1067MFP2</v>
          </cell>
          <cell r="M223" t="str">
            <v>Salvation Army-Jacksonville</v>
          </cell>
        </row>
        <row r="224">
          <cell r="H224" t="str">
            <v>3rd Monday at 9am</v>
          </cell>
          <cell r="I224" t="str">
            <v>DIRECT DST</v>
          </cell>
          <cell r="J224" t="str">
            <v>910-743-0126</v>
          </cell>
          <cell r="K224" t="str">
            <v>N1068</v>
          </cell>
          <cell r="L224" t="str">
            <v>N1068FP</v>
          </cell>
          <cell r="M224" t="str">
            <v>Salvation Army-Maysville</v>
          </cell>
        </row>
        <row r="225">
          <cell r="H225" t="str">
            <v xml:space="preserve">Tuesday &amp; Wednesday 1PM to 3pm - First come first serve - valid ID required. </v>
          </cell>
          <cell r="I225" t="str">
            <v>FOODPANTRY</v>
          </cell>
          <cell r="J225" t="str">
            <v>252-637-2277</v>
          </cell>
          <cell r="K225" t="str">
            <v>N1069</v>
          </cell>
          <cell r="L225" t="str">
            <v>N1069FP</v>
          </cell>
          <cell r="M225" t="str">
            <v>Salvation Army-New Bern</v>
          </cell>
        </row>
        <row r="226">
          <cell r="H226" t="str">
            <v>Monday and Thursday from 9-11, 1007 Orange St, Newport</v>
          </cell>
          <cell r="I226" t="str">
            <v>FOODPANTRY</v>
          </cell>
          <cell r="K226" t="str">
            <v>N1074</v>
          </cell>
          <cell r="L226" t="str">
            <v>N1074FP</v>
          </cell>
          <cell r="M226" t="str">
            <v>Saint James Methodist Church</v>
          </cell>
        </row>
        <row r="227">
          <cell r="H227" t="str">
            <v>3rd Friday at 1PM</v>
          </cell>
          <cell r="I227" t="str">
            <v>DIRECT DST</v>
          </cell>
          <cell r="J227" t="str">
            <v>252-223-4727</v>
          </cell>
          <cell r="K227" t="str">
            <v>N1074</v>
          </cell>
          <cell r="L227" t="str">
            <v>N1074MFP</v>
          </cell>
          <cell r="M227" t="str">
            <v>Saint James Methodist Church</v>
          </cell>
        </row>
        <row r="228">
          <cell r="H228" t="str">
            <v>Monday 2pm</v>
          </cell>
          <cell r="I228" t="str">
            <v>FOODPANTRY</v>
          </cell>
          <cell r="J228" t="str">
            <v>404-915-1148</v>
          </cell>
          <cell r="K228" t="str">
            <v>N1076</v>
          </cell>
          <cell r="L228" t="str">
            <v>N1076FP</v>
          </cell>
          <cell r="M228" t="str">
            <v>Tabernacle Baptist Church</v>
          </cell>
        </row>
        <row r="229">
          <cell r="H229" t="str">
            <v xml:space="preserve">2nd &amp; 4th Friday Registration 5PM-6PM Food Distribution at 7PM </v>
          </cell>
          <cell r="I229" t="str">
            <v>FOODPANTRY</v>
          </cell>
          <cell r="J229" t="str">
            <v>252-349-0787</v>
          </cell>
          <cell r="K229" t="str">
            <v>N1077</v>
          </cell>
          <cell r="L229" t="str">
            <v>N1077FP</v>
          </cell>
          <cell r="M229" t="str">
            <v>Feed Craven</v>
          </cell>
        </row>
        <row r="230">
          <cell r="H230" t="str">
            <v>Monday, Tuesday &amp; Wednesday 10AM-1PM - Other days by appointment, Call 252-725-5539</v>
          </cell>
          <cell r="I230" t="str">
            <v>FOODPANTRY</v>
          </cell>
          <cell r="J230" t="str">
            <v>252-725-5539</v>
          </cell>
          <cell r="K230" t="str">
            <v>N1078</v>
          </cell>
          <cell r="L230" t="str">
            <v>N1078FP</v>
          </cell>
          <cell r="M230" t="str">
            <v>The Storehouse Pantry</v>
          </cell>
        </row>
        <row r="231">
          <cell r="H231" t="str">
            <v>Every Monday, Wednesday &amp; Friday from 8-12:30</v>
          </cell>
          <cell r="I231" t="str">
            <v>FOODPANTRY</v>
          </cell>
          <cell r="J231" t="str">
            <v>252-244-1141</v>
          </cell>
          <cell r="K231" t="str">
            <v>N1083</v>
          </cell>
          <cell r="L231" t="str">
            <v>N1083FP</v>
          </cell>
          <cell r="M231" t="str">
            <v>Vanceboro Christian Help Center</v>
          </cell>
        </row>
        <row r="232">
          <cell r="H232" t="str">
            <v>Thursday 8:30AM to 9:30AM</v>
          </cell>
          <cell r="I232" t="str">
            <v>FOODPANTRY</v>
          </cell>
          <cell r="J232" t="str">
            <v>252-726-9118</v>
          </cell>
          <cell r="K232" t="str">
            <v>N1084</v>
          </cell>
          <cell r="L232" t="str">
            <v>N1084FP</v>
          </cell>
          <cell r="M232" t="str">
            <v>Wildwood Presbyterian Church</v>
          </cell>
        </row>
        <row r="233">
          <cell r="H233" t="str">
            <v>Tuesdays and Thursdays, 9am-1pm</v>
          </cell>
          <cell r="I233" t="str">
            <v>FOODPANTRY</v>
          </cell>
          <cell r="J233" t="str">
            <v>252-224-1127</v>
          </cell>
          <cell r="K233" t="str">
            <v>N1093</v>
          </cell>
          <cell r="L233" t="str">
            <v>N1093FP</v>
          </cell>
          <cell r="M233" t="str">
            <v>The Filling Station</v>
          </cell>
        </row>
        <row r="234">
          <cell r="H234" t="str">
            <v>Wednesday at 4PM ñ Drive-Thru</v>
          </cell>
          <cell r="I234" t="str">
            <v>FOODPANTRY</v>
          </cell>
          <cell r="J234" t="str">
            <v>252-670-7093</v>
          </cell>
          <cell r="K234" t="str">
            <v>N1098</v>
          </cell>
          <cell r="L234" t="str">
            <v>N1098FP</v>
          </cell>
          <cell r="M234" t="str">
            <v>Jones County Community Hope</v>
          </cell>
        </row>
        <row r="235">
          <cell r="H235" t="str">
            <v>Free hot meals served Thursday weekly 11:30am-1pm</v>
          </cell>
          <cell r="I235" t="str">
            <v>SOUP KITCH</v>
          </cell>
          <cell r="J235" t="str">
            <v>252-515-1080</v>
          </cell>
          <cell r="K235" t="str">
            <v>N1101</v>
          </cell>
          <cell r="L235" t="str">
            <v>N1101SK</v>
          </cell>
          <cell r="M235" t="str">
            <v>The Gathering Place</v>
          </cell>
        </row>
        <row r="236">
          <cell r="H236" t="str">
            <v>1st &amp; 3rd Tuesday 6pm-7pm, Saturdays for Emergency call ins</v>
          </cell>
          <cell r="I236" t="str">
            <v>FOODPANTRY</v>
          </cell>
          <cell r="J236" t="str">
            <v>919-938-0073</v>
          </cell>
          <cell r="K236" t="str">
            <v>R1001</v>
          </cell>
          <cell r="L236" t="str">
            <v>R1001FP</v>
          </cell>
          <cell r="M236" t="str">
            <v>A Touch From Above Faith</v>
          </cell>
        </row>
        <row r="237">
          <cell r="H237" t="str">
            <v>Monday Wednesday Friday 9am-12pm</v>
          </cell>
          <cell r="I237" t="str">
            <v>FOODPANTRY</v>
          </cell>
          <cell r="J237" t="str">
            <v>252-377-2209</v>
          </cell>
          <cell r="K237" t="str">
            <v>R1002</v>
          </cell>
          <cell r="L237" t="str">
            <v>R1002FP</v>
          </cell>
          <cell r="M237" t="str">
            <v>A Touch of the Father's Love Inc</v>
          </cell>
        </row>
        <row r="238">
          <cell r="H238" t="str">
            <v>2nd Saturday 7:30am-9:30am and by emergency</v>
          </cell>
          <cell r="I238" t="str">
            <v>FOODPANTRY</v>
          </cell>
          <cell r="J238" t="str">
            <v>252-452-1317</v>
          </cell>
          <cell r="K238" t="str">
            <v>R1003</v>
          </cell>
          <cell r="L238" t="str">
            <v>R1003FP</v>
          </cell>
          <cell r="M238" t="str">
            <v>Abundant Life Ministries</v>
          </cell>
        </row>
        <row r="239">
          <cell r="H239" t="str">
            <v>TWTh by appointment, Fridays Walk-ins accepted 10:00 am - 12:00 pm</v>
          </cell>
          <cell r="I239" t="str">
            <v>FOODPANTRY</v>
          </cell>
          <cell r="J239" t="str">
            <v>919-834-2437</v>
          </cell>
          <cell r="K239" t="str">
            <v>R1010</v>
          </cell>
          <cell r="L239" t="str">
            <v>R1010FP</v>
          </cell>
          <cell r="M239" t="str">
            <v>Alliance of AIDS Services</v>
          </cell>
        </row>
        <row r="240">
          <cell r="H240" t="str">
            <v>Every Saturday all day by appointment</v>
          </cell>
          <cell r="I240" t="str">
            <v>OTHER FP</v>
          </cell>
          <cell r="J240" t="str">
            <v>704-750-5227</v>
          </cell>
          <cell r="K240" t="str">
            <v>R1011OTH2</v>
          </cell>
          <cell r="L240" t="str">
            <v>R1011OTH2</v>
          </cell>
          <cell r="M240" t="str">
            <v>An Elegant Affair</v>
          </cell>
        </row>
        <row r="241">
          <cell r="H241" t="str">
            <v>Tues &amp; Thurs 10:30-11:30</v>
          </cell>
          <cell r="I241" t="str">
            <v>FOODPANTRY</v>
          </cell>
          <cell r="J241" t="str">
            <v>919-438-3313</v>
          </cell>
          <cell r="K241" t="str">
            <v>R1012</v>
          </cell>
          <cell r="L241" t="str">
            <v>R1012FP</v>
          </cell>
          <cell r="M241" t="str">
            <v>Angier Area Food Pantry</v>
          </cell>
        </row>
        <row r="242">
          <cell r="H242" t="str">
            <v>Every Monday Wednesday 11am-11:45am</v>
          </cell>
          <cell r="I242" t="str">
            <v>FOODPANTRY</v>
          </cell>
          <cell r="J242" t="str">
            <v>252-977-6200</v>
          </cell>
          <cell r="K242" t="str">
            <v>R1014</v>
          </cell>
          <cell r="L242" t="str">
            <v>R1014FP</v>
          </cell>
          <cell r="M242" t="str">
            <v>Apostolic Faith Church</v>
          </cell>
        </row>
        <row r="243">
          <cell r="H243" t="str">
            <v>Tues &amp; Thur 10am-2pm</v>
          </cell>
          <cell r="I243" t="str">
            <v>FOODPANTRY</v>
          </cell>
          <cell r="J243" t="str">
            <v>252-674-0093</v>
          </cell>
          <cell r="K243" t="str">
            <v>R1020</v>
          </cell>
          <cell r="L243" t="str">
            <v>R1020FP</v>
          </cell>
          <cell r="M243" t="str">
            <v>Family Food Basket</v>
          </cell>
        </row>
        <row r="244">
          <cell r="H244" t="str">
            <v>2nd &amp; 4th Saturday 10:00 am - 11:00 am</v>
          </cell>
          <cell r="I244" t="str">
            <v>FOODPANTRY</v>
          </cell>
          <cell r="J244" t="str">
            <v>919-787-4528</v>
          </cell>
          <cell r="K244" t="str">
            <v>R1021</v>
          </cell>
          <cell r="L244" t="str">
            <v>R1021FP</v>
          </cell>
          <cell r="M244" t="str">
            <v>Baptist Grove</v>
          </cell>
        </row>
        <row r="245">
          <cell r="H245" t="str">
            <v>1st &amp; 3rd Wed 9-11</v>
          </cell>
          <cell r="I245" t="str">
            <v>FOODPANTRY</v>
          </cell>
          <cell r="J245" t="str">
            <v>919-880-2167</v>
          </cell>
          <cell r="K245" t="str">
            <v>R1024</v>
          </cell>
          <cell r="L245" t="str">
            <v>R1024FP</v>
          </cell>
          <cell r="M245" t="str">
            <v>Benson Area Ministerial</v>
          </cell>
        </row>
        <row r="246">
          <cell r="H246" t="str">
            <v>Tues &amp; Thurs 11:00 am - 2:00 pm</v>
          </cell>
          <cell r="I246" t="str">
            <v>FOODPANTRY</v>
          </cell>
          <cell r="J246" t="str">
            <v>919-847-5219</v>
          </cell>
          <cell r="K246" t="str">
            <v>R1026</v>
          </cell>
          <cell r="L246" t="str">
            <v>R1026FP</v>
          </cell>
          <cell r="M246" t="str">
            <v>Bethlehem Baptist Church</v>
          </cell>
        </row>
        <row r="247">
          <cell r="H247" t="str">
            <v xml:space="preserve">Sundays and 4th Tuesdays 8:30-11am </v>
          </cell>
          <cell r="I247" t="str">
            <v>FOODPANTRY</v>
          </cell>
          <cell r="J247" t="str">
            <v>919-736-7536</v>
          </cell>
          <cell r="K247" t="str">
            <v>R1029</v>
          </cell>
          <cell r="L247" t="str">
            <v>R1029FP</v>
          </cell>
          <cell r="M247" t="str">
            <v>Blood of the Lamb Church</v>
          </cell>
        </row>
        <row r="248">
          <cell r="H248" t="str">
            <v>M-F/11a-12:30p</v>
          </cell>
          <cell r="I248" t="str">
            <v>SOUP KITCH</v>
          </cell>
          <cell r="J248" t="str">
            <v>919-774-3118</v>
          </cell>
          <cell r="K248" t="str">
            <v>R1032</v>
          </cell>
          <cell r="L248" t="str">
            <v>R1032SK</v>
          </cell>
          <cell r="M248" t="str">
            <v>Bread Basket/Sanford Soup</v>
          </cell>
        </row>
        <row r="249">
          <cell r="H249" t="str">
            <v>Thurs 12-4, Emergency Tues 10-12, Sat 11-12</v>
          </cell>
          <cell r="I249" t="str">
            <v>FOODPANTRY</v>
          </cell>
          <cell r="J249" t="str">
            <v>919-427-8889</v>
          </cell>
          <cell r="K249" t="str">
            <v>R1033</v>
          </cell>
          <cell r="L249" t="str">
            <v>R1033FP</v>
          </cell>
          <cell r="M249" t="str">
            <v>Bread of Life Ministries</v>
          </cell>
        </row>
        <row r="250">
          <cell r="H250" t="str">
            <v>Every Monday 5:00-6:30pm</v>
          </cell>
          <cell r="I250" t="str">
            <v>FOODPANTRY</v>
          </cell>
          <cell r="J250" t="str">
            <v>919-269-9207</v>
          </cell>
          <cell r="K250" t="str">
            <v>R1037</v>
          </cell>
          <cell r="L250" t="str">
            <v>R1037FP</v>
          </cell>
          <cell r="M250" t="str">
            <v>Building 323</v>
          </cell>
        </row>
        <row r="251">
          <cell r="H251" t="str">
            <v>2nd Friday 10:30am-12pm and by emergency</v>
          </cell>
          <cell r="I251" t="str">
            <v>FOODPANTRY</v>
          </cell>
          <cell r="J251" t="str">
            <v>252-205-5965</v>
          </cell>
          <cell r="K251" t="str">
            <v>R1039</v>
          </cell>
          <cell r="L251" t="str">
            <v>R1039FP</v>
          </cell>
          <cell r="M251" t="str">
            <v>By Faith Church</v>
          </cell>
        </row>
        <row r="252">
          <cell r="H252" t="str">
            <v>T, TH 9-12</v>
          </cell>
          <cell r="I252" t="str">
            <v>FOODPANTRY</v>
          </cell>
          <cell r="J252" t="str">
            <v>919-772-5919</v>
          </cell>
          <cell r="K252" t="str">
            <v>R1041</v>
          </cell>
          <cell r="L252" t="str">
            <v>R1041FP</v>
          </cell>
          <cell r="M252" t="str">
            <v>Capital Pentacostal Church</v>
          </cell>
        </row>
        <row r="253">
          <cell r="H253" t="str">
            <v>Wed 8:30-12; Emergency, call 919-496-5721 for appt.8-5</v>
          </cell>
          <cell r="I253" t="str">
            <v>FOODPANTRY</v>
          </cell>
          <cell r="J253" t="str">
            <v>919-496-5721</v>
          </cell>
          <cell r="K253" t="str">
            <v>R1044</v>
          </cell>
          <cell r="L253" t="str">
            <v>R1044FP</v>
          </cell>
          <cell r="M253" t="str">
            <v>Care and Share, Inc.</v>
          </cell>
        </row>
        <row r="254">
          <cell r="H254" t="str">
            <v xml:space="preserve"> M/W/Th/F/Sa 9 am ñ 12 pm</v>
          </cell>
          <cell r="I254" t="str">
            <v>FOODPANTRY</v>
          </cell>
          <cell r="J254" t="str">
            <v>919-873-0245</v>
          </cell>
          <cell r="K254" t="str">
            <v>R1048</v>
          </cell>
          <cell r="L254" t="str">
            <v>R1048FP</v>
          </cell>
          <cell r="M254" t="str">
            <v>Catholic Parish Outreach</v>
          </cell>
        </row>
        <row r="255">
          <cell r="H255" t="str">
            <v>Every 2nd Saturday 9am-12pm</v>
          </cell>
          <cell r="I255" t="str">
            <v>FOODPANTRY</v>
          </cell>
          <cell r="J255" t="str">
            <v>919-553-9770</v>
          </cell>
          <cell r="K255" t="str">
            <v>R1056</v>
          </cell>
          <cell r="L255" t="str">
            <v>R1056FP</v>
          </cell>
          <cell r="M255" t="str">
            <v>Christ Community United</v>
          </cell>
        </row>
        <row r="256">
          <cell r="H256" t="str">
            <v>Tuesdays 9am by appointment call agency for appointment</v>
          </cell>
          <cell r="I256" t="str">
            <v>FOODPANTRY</v>
          </cell>
          <cell r="J256" t="str">
            <v>919-775-1311 church</v>
          </cell>
          <cell r="K256" t="str">
            <v>R1058</v>
          </cell>
          <cell r="L256" t="str">
            <v>R1058FP</v>
          </cell>
          <cell r="M256" t="str">
            <v>Christian Faith Ministries</v>
          </cell>
        </row>
        <row r="257">
          <cell r="H257" t="str">
            <v>M 4:00p-6:00p W&amp;F 12:00p-2p</v>
          </cell>
          <cell r="I257" t="str">
            <v>FOODPANTRY</v>
          </cell>
          <cell r="J257" t="str">
            <v>919-774-8485</v>
          </cell>
          <cell r="K257" t="str">
            <v>R1060</v>
          </cell>
          <cell r="L257" t="str">
            <v>R1060FP</v>
          </cell>
          <cell r="M257" t="str">
            <v>Christians United Outreach Center of Lee County</v>
          </cell>
        </row>
        <row r="258">
          <cell r="H258" t="str">
            <v>Fridays 10:00 am -1:30 pm</v>
          </cell>
          <cell r="I258" t="str">
            <v>FOODPANTRY</v>
          </cell>
          <cell r="J258" t="str">
            <v>919-851-8507</v>
          </cell>
          <cell r="K258" t="str">
            <v>R1061</v>
          </cell>
          <cell r="L258" t="str">
            <v>R1061FP</v>
          </cell>
          <cell r="M258" t="str">
            <v>Church of God of Prophecy</v>
          </cell>
        </row>
        <row r="259">
          <cell r="H259" t="str">
            <v>Tuesday 6:30- 7:30 pm, 2nd Saturday 8 am- 11 am</v>
          </cell>
          <cell r="I259" t="str">
            <v>FOODPANTRY</v>
          </cell>
          <cell r="J259" t="str">
            <v>919-995-1270</v>
          </cell>
          <cell r="K259" t="str">
            <v>R1062</v>
          </cell>
          <cell r="L259" t="str">
            <v>R1062FP</v>
          </cell>
          <cell r="M259" t="str">
            <v>Church of God-Sermon del Monte</v>
          </cell>
        </row>
        <row r="260">
          <cell r="H260" t="str">
            <v>Mon-Fri 1pm-3pm</v>
          </cell>
          <cell r="I260" t="str">
            <v>FOODPANTRY</v>
          </cell>
          <cell r="J260" t="str">
            <v>919-553-5654</v>
          </cell>
          <cell r="K260" t="str">
            <v>R1066</v>
          </cell>
          <cell r="L260" t="str">
            <v>R1066FP</v>
          </cell>
          <cell r="M260" t="str">
            <v>Clayton Area Ministries</v>
          </cell>
        </row>
        <row r="261">
          <cell r="H261" t="str">
            <v>1st and 3rd Thursday 9-11:30am</v>
          </cell>
          <cell r="I261" t="str">
            <v>DIRECT DST</v>
          </cell>
          <cell r="J261" t="str">
            <v>910-385-5646</v>
          </cell>
          <cell r="K261" t="str">
            <v>R1068</v>
          </cell>
          <cell r="L261" t="str">
            <v>R1068DD</v>
          </cell>
          <cell r="M261" t="str">
            <v>Clinton (St. Stephens Church)</v>
          </cell>
        </row>
        <row r="262">
          <cell r="H262" t="str">
            <v>M-T-F: 10:00 am - 12:00 pm,  W &amp; F: 8:00 am - 12:00 PM</v>
          </cell>
          <cell r="I262" t="str">
            <v>FOODPANTRY</v>
          </cell>
          <cell r="J262" t="str">
            <v>919-266-4050</v>
          </cell>
          <cell r="K262" t="str">
            <v>R1073</v>
          </cell>
          <cell r="L262" t="str">
            <v>R1073FP</v>
          </cell>
          <cell r="M262" t="str">
            <v>Community Helpers Service</v>
          </cell>
        </row>
        <row r="263">
          <cell r="H263" t="str">
            <v>Tuesday &amp; Thurs 11:00 -12:00 pm, 3rd Thursday 6pm -7pm</v>
          </cell>
          <cell r="I263" t="str">
            <v>FOODPANTRY</v>
          </cell>
          <cell r="J263" t="str">
            <v>919-779-6679 Ext 230</v>
          </cell>
          <cell r="K263" t="str">
            <v>R1074</v>
          </cell>
          <cell r="L263" t="str">
            <v>R1074FP</v>
          </cell>
          <cell r="M263" t="str">
            <v>Community of Hope Ministries</v>
          </cell>
        </row>
        <row r="264">
          <cell r="H264" t="str">
            <v>1st and 3rd Friday, 10 am ; Every Wednesday, 10 am- 12 pm</v>
          </cell>
          <cell r="I264" t="str">
            <v>FOODPANTRY</v>
          </cell>
          <cell r="J264" t="str">
            <v>732-309-4982</v>
          </cell>
          <cell r="K264" t="str">
            <v>R1075</v>
          </cell>
          <cell r="L264" t="str">
            <v>R1075FP</v>
          </cell>
          <cell r="M264" t="str">
            <v>Comunidad Cristiana Hosanna</v>
          </cell>
        </row>
        <row r="265">
          <cell r="H265" t="str">
            <v>Every Tues 11:30am-12:30pm</v>
          </cell>
          <cell r="I265" t="str">
            <v>FOODPANTRY</v>
          </cell>
          <cell r="J265" t="str">
            <v>252-826-3017</v>
          </cell>
          <cell r="K265" t="str">
            <v>R1076</v>
          </cell>
          <cell r="L265" t="str">
            <v>R1076FP</v>
          </cell>
          <cell r="M265" t="str">
            <v>Concerned Citizens Of Tillery</v>
          </cell>
        </row>
        <row r="266">
          <cell r="H266" t="str">
            <v>Tuesday, Wednesday, and Thursday  4pm-5:45pm</v>
          </cell>
          <cell r="I266" t="str">
            <v>FOODPANTRY</v>
          </cell>
          <cell r="J266" t="str">
            <v>919-615-1122</v>
          </cell>
          <cell r="K266" t="str">
            <v>R1078</v>
          </cell>
          <cell r="L266" t="str">
            <v>R1078FP</v>
          </cell>
          <cell r="M266" t="str">
            <v>Covenant Life Church</v>
          </cell>
        </row>
        <row r="267">
          <cell r="H267" t="str">
            <v>Wednesday 9am - 12pm</v>
          </cell>
          <cell r="I267" t="str">
            <v>FOODPANTRY</v>
          </cell>
          <cell r="J267" t="str">
            <v>919-781-5345</v>
          </cell>
          <cell r="K267" t="str">
            <v>R1079</v>
          </cell>
          <cell r="L267" t="str">
            <v>R1079FP</v>
          </cell>
          <cell r="M267" t="str">
            <v>Crabtree Valley Baptist Church</v>
          </cell>
        </row>
        <row r="268">
          <cell r="H268" t="str">
            <v>Mon-Sati 9 am-3pm</v>
          </cell>
          <cell r="I268" t="str">
            <v>FOODPANTRY</v>
          </cell>
          <cell r="J268" t="str">
            <v>919-469-9861</v>
          </cell>
          <cell r="K268" t="str">
            <v>R1103</v>
          </cell>
          <cell r="L268" t="str">
            <v>R1103FP</v>
          </cell>
          <cell r="M268" t="str">
            <v>Dorcas Ministries</v>
          </cell>
        </row>
        <row r="269">
          <cell r="H269" t="str">
            <v>1st and 3rd Friday's 11am-12pm</v>
          </cell>
          <cell r="I269" t="str">
            <v>FOODPANTRY</v>
          </cell>
          <cell r="K269" t="str">
            <v>R1107</v>
          </cell>
          <cell r="L269" t="str">
            <v>R1107FB5</v>
          </cell>
          <cell r="M269" t="str">
            <v>Duplin Christian Outreach, Faith by Grace</v>
          </cell>
        </row>
        <row r="270">
          <cell r="H270" t="str">
            <v>Tuesdays and Thursdays 9am-12:00pm</v>
          </cell>
          <cell r="I270" t="str">
            <v>FOODPANTRY</v>
          </cell>
          <cell r="J270" t="str">
            <v>910-285-6000</v>
          </cell>
          <cell r="K270" t="str">
            <v>R1107</v>
          </cell>
          <cell r="L270" t="str">
            <v>R1107FP1</v>
          </cell>
          <cell r="M270" t="str">
            <v>Duplin Christian Outreach - Helping Hands</v>
          </cell>
        </row>
        <row r="271">
          <cell r="H271" t="str">
            <v>1st Tuesday and 3rd Tuesday noon-1pm</v>
          </cell>
          <cell r="I271" t="str">
            <v>FOODPANTRY</v>
          </cell>
          <cell r="J271" t="str">
            <v>910-289-2449</v>
          </cell>
          <cell r="K271" t="str">
            <v>R1107</v>
          </cell>
          <cell r="L271" t="str">
            <v>R1107FP3</v>
          </cell>
          <cell r="M271" t="str">
            <v>Duplin Christian Outreach</v>
          </cell>
        </row>
        <row r="272">
          <cell r="H272" t="str">
            <v>2nd &amp; 4th Saturday's monthly 9-10am</v>
          </cell>
          <cell r="I272" t="str">
            <v>FOODPANTRY</v>
          </cell>
          <cell r="K272" t="str">
            <v>R1107</v>
          </cell>
          <cell r="L272" t="str">
            <v>R1107FP6</v>
          </cell>
          <cell r="M272" t="str">
            <v>Duplin Christian Outreach Ministries- Snow Hill</v>
          </cell>
        </row>
        <row r="273">
          <cell r="H273" t="str">
            <v>Monday and Friday's 10am-4pm &amp; Tuesdays 12pm-4pm</v>
          </cell>
          <cell r="I273" t="str">
            <v>FOODPANTRY</v>
          </cell>
          <cell r="J273" t="str">
            <v>917 533 0575</v>
          </cell>
          <cell r="K273" t="str">
            <v>R1109</v>
          </cell>
          <cell r="L273" t="str">
            <v>R1109FP</v>
          </cell>
          <cell r="M273" t="str">
            <v>East Duplin Christian Outreach</v>
          </cell>
        </row>
        <row r="274">
          <cell r="H274" t="str">
            <v>Thursdays 8:30am-11:00am</v>
          </cell>
          <cell r="I274" t="str">
            <v>FOODPANTRY</v>
          </cell>
          <cell r="J274" t="str">
            <v>919-965-3761</v>
          </cell>
          <cell r="K274" t="str">
            <v>R1114</v>
          </cell>
          <cell r="L274" t="str">
            <v>R1114FP1</v>
          </cell>
          <cell r="M274" t="str">
            <v>Edgerton Memorial UMC</v>
          </cell>
        </row>
        <row r="275">
          <cell r="H275" t="str">
            <v>3rd  Fridays 9am-12pm</v>
          </cell>
          <cell r="I275" t="str">
            <v>FOODPANTRY</v>
          </cell>
          <cell r="J275" t="str">
            <v>919-523-4167</v>
          </cell>
          <cell r="K275" t="str">
            <v>R1117</v>
          </cell>
          <cell r="L275" t="str">
            <v>R1117FP</v>
          </cell>
          <cell r="M275" t="str">
            <v>Emmanuel Hispanic Pentecostal</v>
          </cell>
        </row>
        <row r="276">
          <cell r="H276" t="str">
            <v>1st &amp; 3rd Wed 10:30-12:00 pm</v>
          </cell>
          <cell r="I276" t="str">
            <v>FOODPANTRY</v>
          </cell>
          <cell r="J276" t="str">
            <v>919-601-7603</v>
          </cell>
          <cell r="K276" t="str">
            <v>R1122</v>
          </cell>
          <cell r="L276" t="str">
            <v>R1122FP</v>
          </cell>
          <cell r="M276" t="str">
            <v>Faith Missionary Baptist</v>
          </cell>
        </row>
        <row r="277">
          <cell r="H277" t="str">
            <v>3rd Saturday at 10am</v>
          </cell>
          <cell r="I277" t="str">
            <v>FOODPANTRY</v>
          </cell>
          <cell r="J277" t="str">
            <v>919-928-1363</v>
          </cell>
          <cell r="K277" t="str">
            <v>R1123</v>
          </cell>
          <cell r="L277" t="str">
            <v>R1123FP1</v>
          </cell>
          <cell r="M277" t="str">
            <v>Faith Tabernacle Ministry</v>
          </cell>
        </row>
        <row r="278">
          <cell r="H278" t="str">
            <v>Every Wednesday 1-2pm; every 4th Tuesday 10am-11am</v>
          </cell>
          <cell r="I278" t="str">
            <v>FOODPANTRY</v>
          </cell>
          <cell r="J278" t="str">
            <v>252-676-9156</v>
          </cell>
          <cell r="K278" t="str">
            <v>R1129</v>
          </cell>
          <cell r="L278" t="str">
            <v>R1129FP</v>
          </cell>
          <cell r="M278" t="str">
            <v>Fidelity Baptist Church</v>
          </cell>
        </row>
        <row r="279">
          <cell r="H279" t="str">
            <v>2nd and 4th Saturdays, 10am -12pm</v>
          </cell>
          <cell r="I279" t="str">
            <v>FOODPANTRY</v>
          </cell>
          <cell r="J279" t="str">
            <v>919-778-7577</v>
          </cell>
          <cell r="K279" t="str">
            <v>R1130</v>
          </cell>
          <cell r="L279" t="str">
            <v>R1130FP</v>
          </cell>
          <cell r="M279" t="str">
            <v>First Assembly of God Church</v>
          </cell>
        </row>
        <row r="280">
          <cell r="H280" t="str">
            <v>Thursday 5-7 pm</v>
          </cell>
          <cell r="I280" t="str">
            <v>FOODPANTRY</v>
          </cell>
          <cell r="J280" t="str">
            <v>919-934-1601</v>
          </cell>
          <cell r="K280" t="str">
            <v>R1131</v>
          </cell>
          <cell r="L280" t="str">
            <v>R1131FP</v>
          </cell>
          <cell r="M280" t="str">
            <v>First Baptist Church of Smithfield</v>
          </cell>
        </row>
        <row r="281">
          <cell r="H281" t="str">
            <v>2nd, 3rd &amp; 4th Tue from, 1pm - 4pm</v>
          </cell>
          <cell r="I281" t="str">
            <v>FOODPANTRY</v>
          </cell>
          <cell r="J281" t="str">
            <v>919-691-7528</v>
          </cell>
          <cell r="K281" t="str">
            <v>R1133</v>
          </cell>
          <cell r="L281" t="str">
            <v>R1133FP</v>
          </cell>
          <cell r="M281" t="str">
            <v>First Cosmopolitan MBC</v>
          </cell>
        </row>
        <row r="282">
          <cell r="H282" t="str">
            <v xml:space="preserve">Monday, Tuesday, &amp; Wednesday by delivery, call for information </v>
          </cell>
          <cell r="I282" t="str">
            <v>FOODPANTRY</v>
          </cell>
          <cell r="J282" t="str">
            <v>919-418-2843</v>
          </cell>
          <cell r="K282" t="str">
            <v>R1134</v>
          </cell>
          <cell r="L282" t="str">
            <v>R1134FP</v>
          </cell>
          <cell r="M282" t="str">
            <v>First Missionary Baptist Church</v>
          </cell>
        </row>
        <row r="283">
          <cell r="H283" t="str">
            <v>Tues 9-11:45, Thurs. 3:00pm-5:45pm</v>
          </cell>
          <cell r="I283" t="str">
            <v>FOODPANTRY</v>
          </cell>
          <cell r="J283" t="str">
            <v>919-552-7720</v>
          </cell>
          <cell r="K283" t="str">
            <v>R1156</v>
          </cell>
          <cell r="L283" t="str">
            <v>R1156FP</v>
          </cell>
          <cell r="M283" t="str">
            <v>Fuquay-Varina Emergency</v>
          </cell>
        </row>
        <row r="284">
          <cell r="H284" t="str">
            <v>First Saturday at 9am and by emergency appointment</v>
          </cell>
          <cell r="I284" t="str">
            <v>FOODPANTRY</v>
          </cell>
          <cell r="J284" t="str">
            <v>252-563-5471</v>
          </cell>
          <cell r="K284" t="str">
            <v>R1161</v>
          </cell>
          <cell r="L284" t="str">
            <v>R1161FP</v>
          </cell>
          <cell r="M284" t="str">
            <v>Gibraltar the Remnant Church</v>
          </cell>
        </row>
        <row r="285">
          <cell r="H285" t="str">
            <v>2nd Tues 10am-2pm, 4th Tues 3pm-6pm</v>
          </cell>
          <cell r="I285" t="str">
            <v>FOODPANTRY</v>
          </cell>
          <cell r="J285" t="str">
            <v>910-658-7574</v>
          </cell>
          <cell r="K285" t="str">
            <v>R1162</v>
          </cell>
          <cell r="L285" t="str">
            <v>R1162FP</v>
          </cell>
          <cell r="M285" t="str">
            <v>Glad Tiding Church Inc</v>
          </cell>
        </row>
        <row r="286">
          <cell r="H286" t="str">
            <v>1st &amp; 3rd Monday 9:15am; 2nd &amp; 4th Wednesday at 9am</v>
          </cell>
          <cell r="I286" t="str">
            <v>FOODPANTRY</v>
          </cell>
          <cell r="J286" t="str">
            <v>252-292-2279</v>
          </cell>
          <cell r="K286" t="str">
            <v>R1163</v>
          </cell>
          <cell r="L286" t="str">
            <v>R1163FP</v>
          </cell>
          <cell r="M286" t="str">
            <v>Glad Tidings Gospel Church</v>
          </cell>
        </row>
        <row r="287">
          <cell r="H287" t="str">
            <v>Wednesdays 1:30-5pm / 2nd &amp; 4th Thursdays 1:30 - 5pm</v>
          </cell>
          <cell r="I287" t="str">
            <v>FOODPANTRY</v>
          </cell>
          <cell r="J287" t="str">
            <v>919-617-2108</v>
          </cell>
          <cell r="K287" t="str">
            <v>R1168</v>
          </cell>
          <cell r="L287" t="str">
            <v>R1168FP</v>
          </cell>
          <cell r="M287" t="str">
            <v>Good News Buenas Nuevas</v>
          </cell>
        </row>
        <row r="288">
          <cell r="H288" t="str">
            <v>2nd &amp; 4th Mondays 12pm-2pm</v>
          </cell>
          <cell r="I288" t="str">
            <v>FOODPANTRY</v>
          </cell>
          <cell r="J288" t="str">
            <v>410-215-8518</v>
          </cell>
          <cell r="K288" t="str">
            <v>R1170</v>
          </cell>
          <cell r="L288" t="str">
            <v>R1170FP1</v>
          </cell>
          <cell r="M288" t="str">
            <v>Greater Joy Missionary Baptist</v>
          </cell>
        </row>
        <row r="289">
          <cell r="H289" t="str">
            <v>1st Friday of the month 10am and 10am-2pm M-F as needed</v>
          </cell>
          <cell r="I289" t="str">
            <v>FOODPANTRY</v>
          </cell>
          <cell r="J289" t="str">
            <v>252-904-7342</v>
          </cell>
          <cell r="K289" t="str">
            <v>R1170</v>
          </cell>
          <cell r="L289" t="str">
            <v>R1170FP2</v>
          </cell>
          <cell r="M289" t="str">
            <v>Greater Joy North</v>
          </cell>
        </row>
        <row r="290">
          <cell r="H290" t="str">
            <v>every Friday 1pm-2:30pm; Wednesday (as needed) 5-6pm</v>
          </cell>
          <cell r="I290" t="str">
            <v>FOODPANTRY</v>
          </cell>
          <cell r="K290" t="str">
            <v>R1170</v>
          </cell>
          <cell r="L290" t="str">
            <v>R1170FP3</v>
          </cell>
          <cell r="M290" t="str">
            <v>Greater Joy Missionary Baptist Church</v>
          </cell>
        </row>
        <row r="291">
          <cell r="H291" t="str">
            <v>Monday 4-6:30pm, Tuesday 1-4pm, Thursday 10am-1pm</v>
          </cell>
          <cell r="I291" t="str">
            <v>FOODPANTRY</v>
          </cell>
          <cell r="J291" t="str">
            <v>910-591-9963</v>
          </cell>
          <cell r="K291" t="str">
            <v>R1179</v>
          </cell>
          <cell r="L291" t="str">
            <v>R1179FP</v>
          </cell>
          <cell r="M291" t="str">
            <v>Harnett Food Pantry</v>
          </cell>
        </row>
        <row r="292">
          <cell r="H292" t="str">
            <v>1st Friday 1-2pm</v>
          </cell>
          <cell r="I292" t="str">
            <v>FOODPANTRY</v>
          </cell>
          <cell r="J292" t="str">
            <v>919-618-1857</v>
          </cell>
          <cell r="K292" t="str">
            <v>R1181</v>
          </cell>
          <cell r="L292" t="str">
            <v>R1181FP1</v>
          </cell>
          <cell r="M292" t="str">
            <v>Harvest Word Ministry</v>
          </cell>
        </row>
        <row r="293">
          <cell r="H293" t="str">
            <v>24/7</v>
          </cell>
          <cell r="I293" t="str">
            <v>SHELTER</v>
          </cell>
          <cell r="J293" t="str">
            <v>919-838-9800 Ext 2540</v>
          </cell>
          <cell r="K293" t="str">
            <v>R1183</v>
          </cell>
          <cell r="L293" t="str">
            <v>R1183SH1</v>
          </cell>
          <cell r="M293" t="str">
            <v>Healing Transitions</v>
          </cell>
        </row>
        <row r="294">
          <cell r="H294" t="str">
            <v>3rd Sat 10am-11am</v>
          </cell>
          <cell r="I294" t="str">
            <v>FOODPANTRY</v>
          </cell>
          <cell r="J294" t="str">
            <v>919-614-2068</v>
          </cell>
          <cell r="K294" t="str">
            <v>R1185</v>
          </cell>
          <cell r="L294" t="str">
            <v>R1185FP</v>
          </cell>
          <cell r="M294" t="str">
            <v>Hearts For Children Intl</v>
          </cell>
        </row>
        <row r="295">
          <cell r="H295" t="str">
            <v>Thursday's 2-3:30 and 7:30-9</v>
          </cell>
          <cell r="I295" t="str">
            <v>FOODPANTRY</v>
          </cell>
          <cell r="J295" t="str">
            <v>252-673-1093</v>
          </cell>
          <cell r="K295" t="str">
            <v>R1188</v>
          </cell>
          <cell r="L295" t="str">
            <v>R1188FP</v>
          </cell>
          <cell r="M295" t="str">
            <v>Highway Restoration Ministries</v>
          </cell>
        </row>
        <row r="296">
          <cell r="H296" t="str">
            <v>Monday 1:00pm-4:00pm and Thursday 2:00pm ñ 5:00pm</v>
          </cell>
          <cell r="I296" t="str">
            <v>FOODPANTRY</v>
          </cell>
          <cell r="J296" t="str">
            <v>919-577-2210</v>
          </cell>
          <cell r="K296" t="str">
            <v>R1193</v>
          </cell>
          <cell r="L296" t="str">
            <v>R1193FP</v>
          </cell>
          <cell r="M296" t="str">
            <v>Holly Springs Food Cupboard</v>
          </cell>
        </row>
        <row r="297">
          <cell r="H297" t="str">
            <v>Tuesday and Thursday from 9:30 a.m. - 12:30 p.m.</v>
          </cell>
          <cell r="I297" t="str">
            <v>FOODPANTRY</v>
          </cell>
          <cell r="J297" t="str">
            <v>919-736-7352</v>
          </cell>
          <cell r="K297" t="str">
            <v>R1195</v>
          </cell>
          <cell r="L297" t="str">
            <v>R1195FP</v>
          </cell>
          <cell r="M297" t="str">
            <v>House of Fordham/Goldsboro</v>
          </cell>
        </row>
        <row r="298">
          <cell r="H298" t="str">
            <v>Mon-Sat 9a.m.-2p..m.</v>
          </cell>
          <cell r="I298" t="str">
            <v>SHELTER</v>
          </cell>
          <cell r="J298" t="str">
            <v>919-736-7352</v>
          </cell>
          <cell r="K298" t="str">
            <v>R1195</v>
          </cell>
          <cell r="L298" t="str">
            <v>R1195SH</v>
          </cell>
          <cell r="M298" t="str">
            <v>House of Fordham</v>
          </cell>
        </row>
        <row r="299">
          <cell r="H299" t="str">
            <v>Wednesday 7-9pm; Saturday 6-8pm; Sunday 6-8pm</v>
          </cell>
          <cell r="I299" t="str">
            <v>FOODPANTRY</v>
          </cell>
          <cell r="J299" t="str">
            <v>919-902-8063</v>
          </cell>
          <cell r="K299" t="str">
            <v>R1197</v>
          </cell>
          <cell r="L299" t="str">
            <v>R1197FP</v>
          </cell>
          <cell r="M299" t="str">
            <v>Iglesia Bethel</v>
          </cell>
        </row>
        <row r="300">
          <cell r="H300" t="str">
            <v>4th Fridays 11am-1pm</v>
          </cell>
          <cell r="I300" t="str">
            <v>FOODPANTRY</v>
          </cell>
          <cell r="K300" t="str">
            <v>R1198</v>
          </cell>
          <cell r="L300" t="str">
            <v>R1198FP</v>
          </cell>
          <cell r="M300" t="str">
            <v>Iglesia de Dios Pentecostal</v>
          </cell>
        </row>
        <row r="301">
          <cell r="H301" t="str">
            <v>2nd &amp; 4th Wednesday 12:00 pm- 5:00 pm</v>
          </cell>
          <cell r="I301" t="str">
            <v>FOODPANTRY</v>
          </cell>
          <cell r="J301" t="str">
            <v>919-519-7321</v>
          </cell>
          <cell r="K301" t="str">
            <v>R1199</v>
          </cell>
          <cell r="L301" t="str">
            <v>R1199FP</v>
          </cell>
          <cell r="M301" t="str">
            <v>Iglesia La Luz Del Evengelio</v>
          </cell>
        </row>
        <row r="302">
          <cell r="H302" t="str">
            <v>1st and 3rd Wed 11 am- 3 pm</v>
          </cell>
          <cell r="I302" t="str">
            <v>FOODPANTRY</v>
          </cell>
          <cell r="J302" t="str">
            <v>919-538-0423</v>
          </cell>
          <cell r="K302" t="str">
            <v>R1200</v>
          </cell>
          <cell r="L302" t="str">
            <v>R1200FP</v>
          </cell>
          <cell r="M302" t="str">
            <v>Iglesia Pentecostal Jesucristo</v>
          </cell>
        </row>
        <row r="303">
          <cell r="H303" t="str">
            <v>1st &amp; 3rd Thursday 9:30 am -11:30am</v>
          </cell>
          <cell r="I303" t="str">
            <v>FOODPANTRY</v>
          </cell>
          <cell r="J303" t="str">
            <v>919-832-5435</v>
          </cell>
          <cell r="K303" t="str">
            <v>R1211</v>
          </cell>
          <cell r="L303" t="str">
            <v>R1211FP</v>
          </cell>
          <cell r="M303" t="str">
            <v>Juniper Level</v>
          </cell>
        </row>
        <row r="304">
          <cell r="H304" t="str">
            <v>Monday: 9:00 am-11:00am Tuesday2:00pm-3:00pm Wednesday:2:00pm-4:00pm Thursday:9:00am-11:00am Friday:9:00am-11:00am</v>
          </cell>
          <cell r="I304" t="str">
            <v>FOODPANTRY</v>
          </cell>
          <cell r="J304" t="str">
            <v>919-284-2449</v>
          </cell>
          <cell r="K304" t="str">
            <v>R1212</v>
          </cell>
          <cell r="L304" t="str">
            <v>R1212FP</v>
          </cell>
          <cell r="M304" t="str">
            <v>Kenly Area Ministries</v>
          </cell>
        </row>
        <row r="305">
          <cell r="H305" t="str">
            <v>Delivery only around noon every Tuesday, every Saturday, every 5th Friday</v>
          </cell>
          <cell r="I305" t="str">
            <v>FOODPANTRY</v>
          </cell>
          <cell r="J305" t="str">
            <v>252-586-1248</v>
          </cell>
          <cell r="K305" t="str">
            <v>R1215</v>
          </cell>
          <cell r="L305" t="str">
            <v>R1215FP</v>
          </cell>
          <cell r="M305" t="str">
            <v>Lakeside Lutheran Church</v>
          </cell>
        </row>
        <row r="306">
          <cell r="H306" t="str">
            <v>1st Monday 8:30-9:15am for last names A-G, 2nd Monday 8:30-9:15am for last names H-M, 3rd Monday 8:30-9:15am for last names N-S, and 4th Monday 8:30-9:15am for last names T-Z</v>
          </cell>
          <cell r="I306" t="str">
            <v>FOODPANTRY</v>
          </cell>
          <cell r="J306" t="str">
            <v>252-315-9430</v>
          </cell>
          <cell r="K306" t="str">
            <v>R1217</v>
          </cell>
          <cell r="L306" t="str">
            <v>R1217FP</v>
          </cell>
          <cell r="M306" t="str">
            <v>Lifeline Christian Center</v>
          </cell>
        </row>
        <row r="307">
          <cell r="H307" t="str">
            <v>Tuesdays &amp; Fridays 2:00pm-3:00pm Summer Hours 11-1</v>
          </cell>
          <cell r="I307" t="str">
            <v>FOODPANTRY</v>
          </cell>
          <cell r="J307" t="str">
            <v>252-438-2098</v>
          </cell>
          <cell r="K307" t="str">
            <v>R1218</v>
          </cell>
          <cell r="L307" t="str">
            <v>R1218FP</v>
          </cell>
          <cell r="M307" t="str">
            <v>Lifeline Outreach/Henderson</v>
          </cell>
        </row>
        <row r="308">
          <cell r="H308" t="str">
            <v>First and third Saturday 11:00 am at the latest, may begin serving earlier. Notice sent out via facebook post), every Tuesday at 11</v>
          </cell>
          <cell r="I308" t="str">
            <v>DIRECT DST</v>
          </cell>
          <cell r="J308" t="str">
            <v>252-314-0405</v>
          </cell>
          <cell r="K308" t="str">
            <v>R1219</v>
          </cell>
          <cell r="L308" t="str">
            <v>R1219DD</v>
          </cell>
          <cell r="M308" t="str">
            <v>Light House Community Center</v>
          </cell>
        </row>
        <row r="309">
          <cell r="H309" t="str">
            <v>Every Monday 9am-1pm, every Tuesday 7:30am-10am, Every Wednesday 12:30pm-4:30pm</v>
          </cell>
          <cell r="I309" t="str">
            <v>FOODPANTRY</v>
          </cell>
          <cell r="J309" t="str">
            <v>252-257-1160</v>
          </cell>
          <cell r="K309" t="str">
            <v>R1221</v>
          </cell>
          <cell r="L309" t="str">
            <v>R1221FP</v>
          </cell>
          <cell r="M309" t="str">
            <v>Loaves and Fishes Ministries</v>
          </cell>
        </row>
        <row r="310">
          <cell r="H310" t="str">
            <v>Every Thursday from 12-1pm and 1st/3rd/5th Saturday from 12-1pm</v>
          </cell>
          <cell r="I310" t="str">
            <v>FOODPANTRY</v>
          </cell>
          <cell r="J310" t="str">
            <v>919-633-4151</v>
          </cell>
          <cell r="K310" t="str">
            <v>R1227</v>
          </cell>
          <cell r="L310" t="str">
            <v>R1227FP</v>
          </cell>
          <cell r="M310" t="str">
            <v>Macedonia New Life</v>
          </cell>
        </row>
        <row r="311">
          <cell r="H311" t="str">
            <v xml:space="preserve">Monday 1-3pm, Wednesday 5-6pm, Friday 11am-1pm </v>
          </cell>
          <cell r="I311" t="str">
            <v>FOODPANTRY</v>
          </cell>
          <cell r="J311" t="str">
            <v>919-601-1697</v>
          </cell>
          <cell r="K311" t="str">
            <v>R1232</v>
          </cell>
          <cell r="L311" t="str">
            <v>R1232FP</v>
          </cell>
          <cell r="M311" t="str">
            <v>Milagros y Maravillas de Dios</v>
          </cell>
        </row>
        <row r="312">
          <cell r="H312" t="str">
            <v>Saturdays  10:00 am-12:00 pm</v>
          </cell>
          <cell r="I312" t="str">
            <v>FOODPANTRY</v>
          </cell>
          <cell r="J312" t="str">
            <v>919-876-0865</v>
          </cell>
          <cell r="K312" t="str">
            <v>R1233</v>
          </cell>
          <cell r="L312" t="str">
            <v>R1233FP</v>
          </cell>
          <cell r="M312" t="str">
            <v>Millbrook United Methodist</v>
          </cell>
        </row>
        <row r="313">
          <cell r="H313" t="str">
            <v>Every 2nd Monday starts at 12 until finished, Every Wednesday 4-5, Every 4th Friday 12pm-2pm</v>
          </cell>
          <cell r="I313" t="str">
            <v>FOODPANTRY</v>
          </cell>
          <cell r="J313" t="str">
            <v>910-580-7763</v>
          </cell>
          <cell r="K313" t="str">
            <v>R1240</v>
          </cell>
          <cell r="L313" t="str">
            <v>R1240FP</v>
          </cell>
          <cell r="M313" t="str">
            <v>Mt Zion Community Church</v>
          </cell>
        </row>
        <row r="314">
          <cell r="H314" t="str">
            <v xml:space="preserve">Wednesdays 1pm (while supplies last) &amp; 4th Saturdays 10:00am (while supplies last) </v>
          </cell>
          <cell r="I314" t="str">
            <v>FOODPANTRY</v>
          </cell>
          <cell r="J314" t="str">
            <v>910-580-7763</v>
          </cell>
          <cell r="K314" t="str">
            <v>R1240</v>
          </cell>
          <cell r="L314" t="str">
            <v>R1240FP2</v>
          </cell>
          <cell r="M314" t="str">
            <v>Garland Christian Ministries</v>
          </cell>
        </row>
        <row r="315">
          <cell r="H315" t="str">
            <v>Saturdays 9- 11 am</v>
          </cell>
          <cell r="I315" t="str">
            <v>FOODPANTRY</v>
          </cell>
          <cell r="J315" t="str">
            <v>919-833-6671</v>
          </cell>
          <cell r="K315" t="str">
            <v>R1244</v>
          </cell>
          <cell r="L315" t="str">
            <v>R1244FP</v>
          </cell>
          <cell r="M315" t="str">
            <v>NCA Philip Randolph Inst</v>
          </cell>
        </row>
        <row r="316">
          <cell r="H316" t="str">
            <v>2nd &amp; 4th Monday 8:30am-11:30am, Wednesday after the first Tuesday at 7:30pm</v>
          </cell>
          <cell r="I316" t="str">
            <v>FOODPANTRY</v>
          </cell>
          <cell r="J316" t="str">
            <v>252-291-9880</v>
          </cell>
          <cell r="K316" t="str">
            <v>R1246</v>
          </cell>
          <cell r="L316" t="str">
            <v>R1246FP1</v>
          </cell>
          <cell r="M316" t="str">
            <v>NC Love In Action (LIA)</v>
          </cell>
        </row>
        <row r="317">
          <cell r="H317" t="str">
            <v>10 AM ñ 12 PM  Wed After 2nd &amp; 4th Sunday</v>
          </cell>
          <cell r="I317" t="str">
            <v>FOODPANTRY</v>
          </cell>
          <cell r="J317" t="str">
            <v>919-496-3873</v>
          </cell>
          <cell r="K317" t="str">
            <v>R1249</v>
          </cell>
          <cell r="L317" t="str">
            <v>R1249FP</v>
          </cell>
          <cell r="M317" t="str">
            <v>Nelson Chapel Baptist Church</v>
          </cell>
        </row>
        <row r="318">
          <cell r="H318" t="str">
            <v xml:space="preserve">2nd Tuesday and† 3rd Tuesday from 10 to 1 pm. </v>
          </cell>
          <cell r="I318" t="str">
            <v>FOODPANTRY</v>
          </cell>
          <cell r="J318" t="str">
            <v>919-389-1347</v>
          </cell>
          <cell r="K318" t="str">
            <v>R1251</v>
          </cell>
          <cell r="L318" t="str">
            <v>R1251FP</v>
          </cell>
          <cell r="M318" t="str">
            <v>New Bethel Baptist Church</v>
          </cell>
        </row>
        <row r="319">
          <cell r="H319" t="str">
            <v>2nd &amp; 4th Tuesday 10:30 am - 12:30 pm</v>
          </cell>
          <cell r="I319" t="str">
            <v>FOODPANTRY</v>
          </cell>
          <cell r="J319" t="str">
            <v>202-302-0158</v>
          </cell>
          <cell r="K319" t="str">
            <v>R1252</v>
          </cell>
          <cell r="L319" t="str">
            <v>R1252FP</v>
          </cell>
          <cell r="M319" t="str">
            <v>New Bethel Christian Church</v>
          </cell>
        </row>
        <row r="320">
          <cell r="H320" t="str">
            <v>1st Thursday 11am-12pm</v>
          </cell>
          <cell r="I320" t="str">
            <v>FOODPANTRY</v>
          </cell>
          <cell r="J320" t="str">
            <v>919-502-9651</v>
          </cell>
          <cell r="K320" t="str">
            <v>R1253</v>
          </cell>
          <cell r="L320" t="str">
            <v>R1253FP</v>
          </cell>
          <cell r="M320" t="str">
            <v>New Birth Holiness Church</v>
          </cell>
        </row>
        <row r="321">
          <cell r="H321" t="str">
            <v>Fridays 5:30 p.m. - as supplies last</v>
          </cell>
          <cell r="I321" t="str">
            <v>FOODPANTRY</v>
          </cell>
          <cell r="J321" t="str">
            <v>919-601-2352</v>
          </cell>
          <cell r="K321" t="str">
            <v>R1258</v>
          </cell>
          <cell r="L321" t="str">
            <v>R1258FP</v>
          </cell>
          <cell r="M321" t="str">
            <v>New Freedom Christian Fellowship</v>
          </cell>
        </row>
        <row r="322">
          <cell r="H322" t="str">
            <v xml:space="preserve">2nd Saturday 12pm-3pm (every other month) </v>
          </cell>
          <cell r="I322" t="str">
            <v>FOODPANTRY</v>
          </cell>
          <cell r="J322" t="str">
            <v>919-499-5316</v>
          </cell>
          <cell r="K322" t="str">
            <v>R1261</v>
          </cell>
          <cell r="L322" t="str">
            <v>R1261FP</v>
          </cell>
          <cell r="M322" t="str">
            <v>New Life Fellowship Church</v>
          </cell>
        </row>
        <row r="323">
          <cell r="H323" t="str">
            <v>1st &amp; 3rd Mondays 9-10am</v>
          </cell>
          <cell r="I323" t="str">
            <v>FOODPANTRY</v>
          </cell>
          <cell r="J323" t="str">
            <v>919-671-3511</v>
          </cell>
          <cell r="K323" t="str">
            <v>R1262</v>
          </cell>
          <cell r="L323" t="str">
            <v>R1262FP</v>
          </cell>
          <cell r="M323" t="str">
            <v>New Life Outreach Ministry</v>
          </cell>
        </row>
        <row r="324">
          <cell r="H324" t="str">
            <v>2nd &amp; 3rd Sat 1:00 pm - 3:00 pm</v>
          </cell>
          <cell r="I324" t="str">
            <v>FOODPANTRY</v>
          </cell>
          <cell r="J324" t="str">
            <v>919-552-3531</v>
          </cell>
          <cell r="K324" t="str">
            <v>R1263</v>
          </cell>
          <cell r="L324" t="str">
            <v>R1263FP</v>
          </cell>
          <cell r="M324" t="str">
            <v>New Providence Missionary</v>
          </cell>
        </row>
        <row r="325">
          <cell r="H325" t="str">
            <v>3rd Saturday 11am-2pm and by emergency</v>
          </cell>
          <cell r="I325" t="str">
            <v>FOODPANTRY</v>
          </cell>
          <cell r="J325" t="str">
            <v>919-735-1256</v>
          </cell>
          <cell r="K325" t="str">
            <v>R1265</v>
          </cell>
          <cell r="L325" t="str">
            <v>R1265FP</v>
          </cell>
          <cell r="M325" t="str">
            <v>New Vision Christian Church</v>
          </cell>
        </row>
        <row r="326">
          <cell r="H326" t="str">
            <v>Tuesdays 10:15 am- 12pm</v>
          </cell>
          <cell r="I326" t="str">
            <v>FOODPANTRY</v>
          </cell>
          <cell r="J326" t="str">
            <v>919-617-1444</v>
          </cell>
          <cell r="K326" t="str">
            <v>R1266</v>
          </cell>
          <cell r="L326" t="str">
            <v>R1266FP</v>
          </cell>
          <cell r="M326" t="str">
            <v>North Carolina Poverty</v>
          </cell>
        </row>
        <row r="327">
          <cell r="H327" t="str">
            <v>3rd Sat 10 am - 11:00 am</v>
          </cell>
          <cell r="I327" t="str">
            <v>FOODPANTRY</v>
          </cell>
          <cell r="J327" t="str">
            <v>919-847-4291</v>
          </cell>
          <cell r="K327" t="str">
            <v>R1267</v>
          </cell>
          <cell r="L327" t="str">
            <v>R1267FP</v>
          </cell>
          <cell r="M327" t="str">
            <v>North Haven Ministries Inc</v>
          </cell>
        </row>
        <row r="328">
          <cell r="H328" t="str">
            <v>1st &amp; 3rd Wednesday's 9-10a:30am and 6-6:30pm</v>
          </cell>
          <cell r="I328" t="str">
            <v>FOODPANTRY</v>
          </cell>
          <cell r="J328" t="str">
            <v>919-818-4468</v>
          </cell>
          <cell r="K328" t="str">
            <v>R1270</v>
          </cell>
          <cell r="L328" t="str">
            <v>R1270FP</v>
          </cell>
          <cell r="M328" t="str">
            <v>Oak Level Christian Church</v>
          </cell>
        </row>
        <row r="329">
          <cell r="H329" t="str">
            <v>Saturday 11:00 am - 12:00 pm</v>
          </cell>
          <cell r="I329" t="str">
            <v>FOODPANTRY</v>
          </cell>
          <cell r="J329" t="str">
            <v>919.847.6969</v>
          </cell>
          <cell r="K329" t="str">
            <v>R1277</v>
          </cell>
          <cell r="L329" t="str">
            <v>R1277FP</v>
          </cell>
          <cell r="M329" t="str">
            <v>Open Door Baptist Church</v>
          </cell>
        </row>
        <row r="330">
          <cell r="H330" t="str">
            <v>2nd and 4th Friday 9:30am-11am</v>
          </cell>
          <cell r="I330" t="str">
            <v>FOODPANTRY</v>
          </cell>
          <cell r="J330" t="str">
            <v>252-972-0542 Ext 206</v>
          </cell>
          <cell r="K330" t="str">
            <v>R1281</v>
          </cell>
          <cell r="L330" t="str">
            <v>R1281FP</v>
          </cell>
          <cell r="M330" t="str">
            <v>Our Lady of Perpetual Church</v>
          </cell>
        </row>
        <row r="331">
          <cell r="H331" t="str">
            <v>M-W 8:30a-10:00a</v>
          </cell>
          <cell r="I331" t="str">
            <v>FOODPANTRY</v>
          </cell>
          <cell r="J331" t="str">
            <v>919-736-2909</v>
          </cell>
          <cell r="K331" t="str">
            <v>R1287</v>
          </cell>
          <cell r="L331" t="str">
            <v>R1287FP</v>
          </cell>
          <cell r="M331" t="str">
            <v>Pete Norris Ministries Inc</v>
          </cell>
        </row>
        <row r="332">
          <cell r="H332" t="str">
            <v>1st &amp; 3rd Tuesday 10 a.m. - 11a.m., 1st &amp; 3rd Wednesday 5 p.m. - 6 p.m., 5th Tues 10am-11am</v>
          </cell>
          <cell r="I332" t="str">
            <v>FOODPANTRY</v>
          </cell>
          <cell r="J332" t="str">
            <v>919-365-7292</v>
          </cell>
          <cell r="K332" t="str">
            <v>R1288</v>
          </cell>
          <cell r="L332" t="str">
            <v>R1288FP</v>
          </cell>
          <cell r="M332" t="str">
            <v>Pleasant Grove Missionary</v>
          </cell>
        </row>
        <row r="333">
          <cell r="H333" t="str">
            <v xml:space="preserve">3rd Thursday 5-6pm call 910-893-4490 to sign-up </v>
          </cell>
          <cell r="I333" t="str">
            <v>FOODPANTRY</v>
          </cell>
          <cell r="J333" t="str">
            <v>910-893-4490</v>
          </cell>
          <cell r="K333" t="str">
            <v>R1289</v>
          </cell>
          <cell r="L333" t="str">
            <v>R1289FP1</v>
          </cell>
          <cell r="M333" t="str">
            <v>Pleasant Union Christian</v>
          </cell>
        </row>
        <row r="334">
          <cell r="H334" t="str">
            <v>1st &amp; 4th Monday 7:00 am -10:00 am</v>
          </cell>
          <cell r="I334" t="str">
            <v>FOODPANTRY</v>
          </cell>
          <cell r="J334" t="str">
            <v>919-772-5151</v>
          </cell>
          <cell r="K334" t="str">
            <v>R1290</v>
          </cell>
          <cell r="L334" t="str">
            <v>R1290FP</v>
          </cell>
          <cell r="M334" t="str">
            <v>Poplar Springs Christian</v>
          </cell>
        </row>
        <row r="335">
          <cell r="H335" t="str">
            <v>3rd Tues 4pm-6pm, Thursdays 4p-6p, Sa- by appointment only</v>
          </cell>
          <cell r="I335" t="str">
            <v>FOODPANTRY</v>
          </cell>
          <cell r="J335" t="str">
            <v>919-395-8253</v>
          </cell>
          <cell r="K335" t="str">
            <v>R1294</v>
          </cell>
          <cell r="L335" t="str">
            <v>R1294FP</v>
          </cell>
          <cell r="M335" t="str">
            <v>Progressive Teamwork Outreach</v>
          </cell>
        </row>
        <row r="336">
          <cell r="H336" t="str">
            <v>4th Saturday 9:30 am -11:30 am</v>
          </cell>
          <cell r="I336" t="str">
            <v>FOODPANTRY</v>
          </cell>
          <cell r="J336" t="str">
            <v>919-852-5683</v>
          </cell>
          <cell r="K336" t="str">
            <v>R1298</v>
          </cell>
          <cell r="L336" t="str">
            <v>R1298FP</v>
          </cell>
          <cell r="M336" t="str">
            <v>Raleigh Church of Christ</v>
          </cell>
        </row>
        <row r="337">
          <cell r="H337" t="str">
            <v>24/7</v>
          </cell>
          <cell r="I337" t="str">
            <v>SHELTER</v>
          </cell>
          <cell r="J337" t="str">
            <v>919-828-9014 Ext 131</v>
          </cell>
          <cell r="K337" t="str">
            <v>R1303</v>
          </cell>
          <cell r="L337" t="str">
            <v>R1303SH</v>
          </cell>
          <cell r="M337" t="str">
            <v>Raleigh Rescue Mission</v>
          </cell>
        </row>
        <row r="338">
          <cell r="H338" t="str">
            <v>Daily-Breakfast for men 7am; Breakfast for women 7:45am; Lunch for men 12:30pm; Lunch for women at 11:45am; Dinner for men 5pm; Dinner for women 4pm</v>
          </cell>
          <cell r="I338" t="str">
            <v>SOUP KITCH</v>
          </cell>
          <cell r="J338" t="str">
            <v>919-828-9014 Ext 131</v>
          </cell>
          <cell r="K338" t="str">
            <v>R1303</v>
          </cell>
          <cell r="L338" t="str">
            <v>R1303SK</v>
          </cell>
          <cell r="M338" t="str">
            <v>Raleigh Rescue Mission</v>
          </cell>
        </row>
        <row r="339">
          <cell r="H339" t="str">
            <v>Wed 2pm-5pm</v>
          </cell>
          <cell r="I339" t="str">
            <v>FOODPANTRY</v>
          </cell>
          <cell r="J339" t="str">
            <v>910-890-2137</v>
          </cell>
          <cell r="K339" t="str">
            <v>R1308</v>
          </cell>
          <cell r="L339" t="str">
            <v>R1308FP</v>
          </cell>
          <cell r="M339" t="str">
            <v>Recruiters for Christ Church</v>
          </cell>
        </row>
        <row r="340">
          <cell r="H340" t="str">
            <v>3rd Tuesday 10am-12pm</v>
          </cell>
          <cell r="I340" t="str">
            <v>FOODPANTRY</v>
          </cell>
          <cell r="J340" t="str">
            <v>919-607-5873</v>
          </cell>
          <cell r="K340" t="str">
            <v>R1311</v>
          </cell>
          <cell r="L340" t="str">
            <v>R1311FP</v>
          </cell>
          <cell r="M340" t="str">
            <v>Renewal Place</v>
          </cell>
        </row>
        <row r="341">
          <cell r="H341" t="str">
            <v>3rd Saturday 10:30 am -12:30 pm</v>
          </cell>
          <cell r="I341" t="str">
            <v>FOODPANTRY</v>
          </cell>
          <cell r="J341" t="str">
            <v>919-828-9292</v>
          </cell>
          <cell r="K341" t="str">
            <v>R1315</v>
          </cell>
          <cell r="L341" t="str">
            <v>R1315FP</v>
          </cell>
          <cell r="M341" t="str">
            <v>Revelation Missionary</v>
          </cell>
        </row>
        <row r="342">
          <cell r="H342" t="str">
            <v>2nd and 4th Saturday 10-12:30pm</v>
          </cell>
          <cell r="I342" t="str">
            <v>FOODPANTRY</v>
          </cell>
          <cell r="J342" t="str">
            <v>910-990-0967</v>
          </cell>
          <cell r="K342" t="str">
            <v>R1316</v>
          </cell>
          <cell r="L342" t="str">
            <v>R1316FP</v>
          </cell>
          <cell r="M342" t="str">
            <v>Revival Deliverance Ctr Inc</v>
          </cell>
        </row>
        <row r="343">
          <cell r="H343" t="str">
            <v>2nd and 4th Saturday. †9- 11 am</v>
          </cell>
          <cell r="I343" t="str">
            <v>FOODPANTRY</v>
          </cell>
          <cell r="J343" t="str">
            <v>919-556-9292</v>
          </cell>
          <cell r="K343" t="str">
            <v>R1318</v>
          </cell>
          <cell r="L343" t="str">
            <v>R1318FP</v>
          </cell>
          <cell r="M343" t="str">
            <v>Richland Creek Community</v>
          </cell>
        </row>
        <row r="344">
          <cell r="H344" t="str">
            <v>1st Wednesday and 2nd and 4th Thursday of the month 1-4pm</v>
          </cell>
          <cell r="I344" t="str">
            <v>FOODPANTRY</v>
          </cell>
          <cell r="J344" t="str">
            <v>910-529-7625</v>
          </cell>
          <cell r="K344" t="str">
            <v>R1323</v>
          </cell>
          <cell r="L344" t="str">
            <v>R1323FP</v>
          </cell>
          <cell r="M344" t="str">
            <v>Rock Ministry Inc</v>
          </cell>
        </row>
        <row r="345">
          <cell r="H345" t="str">
            <v>Tuesday &amp; Thursday 1pm - 2pm (No Holiday Services)</v>
          </cell>
          <cell r="I345" t="str">
            <v>FOODPANTRY</v>
          </cell>
          <cell r="J345" t="str">
            <v>919-834-6733</v>
          </cell>
          <cell r="K345" t="str">
            <v>R1331</v>
          </cell>
          <cell r="L345" t="str">
            <v>R1331FP</v>
          </cell>
          <cell r="M345" t="str">
            <v>Salvation Army-Raleigh</v>
          </cell>
        </row>
        <row r="346">
          <cell r="H346" t="str">
            <v>Family Drop In shelter : 5pm (First come first served)</v>
          </cell>
          <cell r="I346" t="str">
            <v>SHELTER</v>
          </cell>
          <cell r="J346" t="str">
            <v>919-834-6733</v>
          </cell>
          <cell r="K346" t="str">
            <v>R1331</v>
          </cell>
          <cell r="L346" t="str">
            <v>R1331SH</v>
          </cell>
          <cell r="M346" t="str">
            <v>Salvation Army-Raleigh</v>
          </cell>
        </row>
        <row r="347">
          <cell r="H347" t="str">
            <v>Monday -Friday 4:30pm - 5:30pm ( No Holiday Services)</v>
          </cell>
          <cell r="I347" t="str">
            <v>SOUP KITCH</v>
          </cell>
          <cell r="J347" t="str">
            <v>919-834-6733</v>
          </cell>
          <cell r="K347" t="str">
            <v>R1331</v>
          </cell>
          <cell r="L347" t="str">
            <v>R1331SK</v>
          </cell>
          <cell r="M347" t="str">
            <v>Salvation Army-Raleigh</v>
          </cell>
        </row>
        <row r="348">
          <cell r="H348" t="str">
            <v>Monday-Thursday 9am-4pm by appointment only</v>
          </cell>
          <cell r="I348" t="str">
            <v>FOODPANTRY</v>
          </cell>
          <cell r="J348" t="str">
            <v>252-446-4496 ext 5</v>
          </cell>
          <cell r="K348" t="str">
            <v>R1332</v>
          </cell>
          <cell r="L348" t="str">
            <v>R1332FP</v>
          </cell>
          <cell r="M348" t="str">
            <v>Salvation Army-Rocky Mount</v>
          </cell>
        </row>
        <row r="349">
          <cell r="H349" t="str">
            <v xml:space="preserve">Fridays 9-11am </v>
          </cell>
          <cell r="I349" t="str">
            <v>FOODPANTRY</v>
          </cell>
          <cell r="J349" t="str">
            <v>919-934-9102</v>
          </cell>
          <cell r="K349" t="str">
            <v>R1333</v>
          </cell>
          <cell r="L349" t="str">
            <v>R1333FP</v>
          </cell>
          <cell r="M349" t="str">
            <v>Salvation Army-Smithfield</v>
          </cell>
        </row>
        <row r="350">
          <cell r="H350" t="str">
            <v>3rd Saturday 9:30am-11:30am and by emergency</v>
          </cell>
          <cell r="I350" t="str">
            <v>FOODPANTRY</v>
          </cell>
          <cell r="J350" t="str">
            <v>919-631-8290</v>
          </cell>
          <cell r="K350" t="str">
            <v>R1334</v>
          </cell>
          <cell r="L350" t="str">
            <v>R1334FP</v>
          </cell>
          <cell r="M350" t="str">
            <v>Samaritan's Shelf</v>
          </cell>
        </row>
        <row r="351">
          <cell r="H351" t="str">
            <v>Fridays at 2:00pm-3:00pm</v>
          </cell>
          <cell r="I351" t="str">
            <v>FOODPANTRY</v>
          </cell>
          <cell r="J351" t="str">
            <v>919-583-8932</v>
          </cell>
          <cell r="K351" t="str">
            <v>R1338</v>
          </cell>
          <cell r="L351" t="str">
            <v>R1338FP1</v>
          </cell>
          <cell r="M351" t="str">
            <v>Save the Family Church</v>
          </cell>
        </row>
        <row r="352">
          <cell r="H352" t="str">
            <v>Wed 9am-2pm</v>
          </cell>
          <cell r="I352" t="str">
            <v>FOODPANTRY</v>
          </cell>
          <cell r="J352" t="str">
            <v>919-934-0278</v>
          </cell>
          <cell r="K352" t="str">
            <v>R1348</v>
          </cell>
          <cell r="L352" t="str">
            <v>R1348FP</v>
          </cell>
          <cell r="M352" t="str">
            <v>Shiloh Christian Food Pantry</v>
          </cell>
        </row>
        <row r="353">
          <cell r="H353" t="str">
            <v xml:space="preserve">3rd Thursdays 6:30-8:30pm </v>
          </cell>
          <cell r="I353" t="str">
            <v>FOODPANTRY</v>
          </cell>
          <cell r="J353" t="str">
            <v xml:space="preserve">919-673-4405 </v>
          </cell>
          <cell r="K353" t="str">
            <v>R1349</v>
          </cell>
          <cell r="L353" t="str">
            <v>R1349FP</v>
          </cell>
          <cell r="M353" t="str">
            <v>Showers of Blessing Community</v>
          </cell>
        </row>
        <row r="354">
          <cell r="H354" t="str">
            <v>Fridays 9-10:30am (closed on Good Friday The Friday after Thanksgiving The Friday between Christmas and New Yearís Day)</v>
          </cell>
          <cell r="I354" t="str">
            <v>FOODPANTRY</v>
          </cell>
          <cell r="J354" t="str">
            <v>919-934-2084</v>
          </cell>
          <cell r="K354" t="str">
            <v>R1355</v>
          </cell>
          <cell r="L354" t="str">
            <v>R1355FP</v>
          </cell>
          <cell r="M354" t="str">
            <v>Saint Ann Catholic Church</v>
          </cell>
        </row>
        <row r="355">
          <cell r="H355" t="str">
            <v>Friday after the 3rd Sunday, 12-2pm</v>
          </cell>
          <cell r="I355" t="str">
            <v>FOODPANTRY</v>
          </cell>
          <cell r="J355" t="str">
            <v>919-552-1107</v>
          </cell>
          <cell r="K355" t="str">
            <v>R1356</v>
          </cell>
          <cell r="L355" t="str">
            <v>R1356FP</v>
          </cell>
          <cell r="M355" t="str">
            <v>Saint Anna Freewill Baptist</v>
          </cell>
        </row>
        <row r="356">
          <cell r="H356" t="str">
            <v>1st &amp; 3rd Wed 8:30AM-9:30AM</v>
          </cell>
          <cell r="I356" t="str">
            <v>FOODPANTRY</v>
          </cell>
          <cell r="J356" t="str">
            <v>252-442-2318</v>
          </cell>
          <cell r="K356" t="str">
            <v>R1359</v>
          </cell>
          <cell r="L356" t="str">
            <v>R1359FP</v>
          </cell>
          <cell r="M356" t="str">
            <v>Saint James Missionary Baptist Church</v>
          </cell>
        </row>
        <row r="357">
          <cell r="H357" t="str">
            <v>2 Fridays per month 10:00am-1:00pm</v>
          </cell>
          <cell r="I357" t="str">
            <v>FOODPANTRY</v>
          </cell>
          <cell r="J357" t="str">
            <v>919-738-8215</v>
          </cell>
          <cell r="K357" t="str">
            <v>R1360</v>
          </cell>
          <cell r="L357" t="str">
            <v>R1360FP1</v>
          </cell>
          <cell r="M357" t="str">
            <v>Saint Mark Church of Christ</v>
          </cell>
        </row>
        <row r="358">
          <cell r="H358" t="str">
            <v>4th Saturday from 8:30-11am</v>
          </cell>
          <cell r="I358" t="str">
            <v>FOODPANTRY</v>
          </cell>
          <cell r="J358" t="str">
            <v>252-904-0513</v>
          </cell>
          <cell r="K358" t="str">
            <v>R1362</v>
          </cell>
          <cell r="L358" t="str">
            <v>R1362FP</v>
          </cell>
          <cell r="M358" t="str">
            <v>Saint Paul Missionary Baptist Church</v>
          </cell>
        </row>
        <row r="359">
          <cell r="H359" t="str">
            <v>3rd Sat 11:00 am - 12:30pm &amp; as needed</v>
          </cell>
          <cell r="I359" t="str">
            <v>FOODPANTRY</v>
          </cell>
          <cell r="J359" t="str">
            <v>919-828-3746</v>
          </cell>
          <cell r="K359" t="str">
            <v>R1364</v>
          </cell>
          <cell r="L359" t="str">
            <v>R1364FP</v>
          </cell>
          <cell r="M359" t="str">
            <v>State Street Community Church</v>
          </cell>
        </row>
        <row r="360">
          <cell r="H360" t="str">
            <v>Sundays 9 am - 1 pm</v>
          </cell>
          <cell r="I360" t="str">
            <v>FOODPANTRY</v>
          </cell>
          <cell r="J360" t="str">
            <v>919-880-7817</v>
          </cell>
          <cell r="K360" t="str">
            <v>R1365</v>
          </cell>
          <cell r="L360" t="str">
            <v>R1365FP</v>
          </cell>
          <cell r="M360" t="str">
            <v>The Stone Chapel</v>
          </cell>
        </row>
        <row r="361">
          <cell r="H361" t="str">
            <v>Every other Saturday, 11:00 am to 1:00 pm</v>
          </cell>
          <cell r="I361" t="str">
            <v>FOODPANTRY</v>
          </cell>
          <cell r="J361" t="str">
            <v>919-758-0843</v>
          </cell>
          <cell r="K361" t="str">
            <v>R1367</v>
          </cell>
          <cell r="L361" t="str">
            <v>R1367FP</v>
          </cell>
          <cell r="M361" t="str">
            <v>Sure Promise Christian Church</v>
          </cell>
        </row>
        <row r="362">
          <cell r="H362" t="str">
            <v>1st Friday 2pm-4pm and by Emergency</v>
          </cell>
          <cell r="I362" t="str">
            <v>FOODPANTRY</v>
          </cell>
          <cell r="J362" t="str">
            <v>252-308-2277</v>
          </cell>
          <cell r="K362" t="str">
            <v>R1370</v>
          </cell>
          <cell r="L362" t="str">
            <v>R1370FP</v>
          </cell>
          <cell r="M362" t="str">
            <v>Temple Emmanuel Gospel Truth</v>
          </cell>
        </row>
        <row r="363">
          <cell r="H363" t="str">
            <v>Every Sunday 11am-12pm</v>
          </cell>
          <cell r="I363" t="str">
            <v>SOUP KITCH</v>
          </cell>
          <cell r="J363" t="str">
            <v>252-308-2277</v>
          </cell>
          <cell r="K363" t="str">
            <v>R1370</v>
          </cell>
          <cell r="L363" t="str">
            <v>R1370SK</v>
          </cell>
          <cell r="M363" t="str">
            <v>Temple Emmanuel Gospel Truth</v>
          </cell>
        </row>
        <row r="364">
          <cell r="H364" t="str">
            <v>Tuesday 9-9:30</v>
          </cell>
          <cell r="I364" t="str">
            <v>FOODPANTRY</v>
          </cell>
          <cell r="J364" t="str">
            <v>919-734-7128</v>
          </cell>
          <cell r="K364" t="str">
            <v>R1378</v>
          </cell>
          <cell r="L364" t="str">
            <v>R1378FP</v>
          </cell>
          <cell r="M364" t="str">
            <v>The Original Tabernacle of Prayer</v>
          </cell>
        </row>
        <row r="365">
          <cell r="H365" t="str">
            <v>Saturday 11:00 am - 12:00 pm</v>
          </cell>
          <cell r="I365" t="str">
            <v>FOODPANTRY</v>
          </cell>
          <cell r="J365" t="str">
            <v>252-382-9332</v>
          </cell>
          <cell r="K365" t="str">
            <v>R1379</v>
          </cell>
          <cell r="L365" t="str">
            <v>R1379FP1</v>
          </cell>
          <cell r="M365" t="str">
            <v>The Point Care Center</v>
          </cell>
        </row>
        <row r="366">
          <cell r="H366" t="str">
            <v>2nd Saturday 10:00 am - 11:30 am</v>
          </cell>
          <cell r="I366" t="str">
            <v>FOODPANTRY</v>
          </cell>
          <cell r="J366" t="str">
            <v>919-926-7896</v>
          </cell>
          <cell r="K366" t="str">
            <v>R1381</v>
          </cell>
          <cell r="L366" t="str">
            <v>R1381FP</v>
          </cell>
          <cell r="M366" t="str">
            <v>The Ship Outreach &amp; Comm Cntr</v>
          </cell>
        </row>
        <row r="367">
          <cell r="H367" t="str">
            <v>Fourth Saturday of each month. 10-11:30 am</v>
          </cell>
          <cell r="I367" t="str">
            <v>FOODPANTRY</v>
          </cell>
          <cell r="K367" t="str">
            <v>R1381</v>
          </cell>
          <cell r="L367" t="str">
            <v>R1381FP1</v>
          </cell>
          <cell r="M367" t="str">
            <v>The Ship Outreach @ Raleigh International Church</v>
          </cell>
        </row>
        <row r="368">
          <cell r="H368" t="str">
            <v>Third Saturday of each month. 11 am- 12:30 pm</v>
          </cell>
          <cell r="I368" t="str">
            <v>FOODPANTRY</v>
          </cell>
          <cell r="K368" t="str">
            <v>R1381</v>
          </cell>
          <cell r="L368" t="str">
            <v>R1381FP2</v>
          </cell>
          <cell r="M368" t="str">
            <v>The Ship Outreach @ Storehouse Ministry</v>
          </cell>
        </row>
        <row r="369">
          <cell r="H369" t="str">
            <v>Third Saturday of each month. 9:30- 11 am</v>
          </cell>
          <cell r="I369" t="str">
            <v>FOODPANTRY</v>
          </cell>
          <cell r="K369" t="str">
            <v>R1381</v>
          </cell>
          <cell r="L369" t="str">
            <v>R1381FP3</v>
          </cell>
          <cell r="M369" t="str">
            <v>The Ship Outreach @ Cavalry Faith Center</v>
          </cell>
        </row>
        <row r="370">
          <cell r="H370" t="str">
            <v>First Saturday of each month. 2- 3:30 pm</v>
          </cell>
          <cell r="I370" t="str">
            <v>FOODPANTRY</v>
          </cell>
          <cell r="K370" t="str">
            <v>R1381</v>
          </cell>
          <cell r="L370" t="str">
            <v>R1381FP4</v>
          </cell>
          <cell r="M370" t="str">
            <v>The Ship Outreach @ Bethany Community Church</v>
          </cell>
        </row>
        <row r="371">
          <cell r="H371" t="str">
            <v>Mon &amp; Wed 2nd &amp; 3rd Sat 10am-1pm</v>
          </cell>
          <cell r="I371" t="str">
            <v>FOODPANTRY</v>
          </cell>
          <cell r="J371" t="str">
            <v>919-556-7144</v>
          </cell>
          <cell r="K371" t="str">
            <v>R1384</v>
          </cell>
          <cell r="L371" t="str">
            <v>R1384FP</v>
          </cell>
          <cell r="M371" t="str">
            <v>Tri-Area Ministry</v>
          </cell>
        </row>
        <row r="372">
          <cell r="H372" t="str">
            <v>1st and 3rd Thursday from 9a-12p</v>
          </cell>
          <cell r="I372" t="str">
            <v>FOODPANTRY</v>
          </cell>
          <cell r="J372" t="str">
            <v>252-827-2312</v>
          </cell>
          <cell r="K372" t="str">
            <v>R1386</v>
          </cell>
          <cell r="L372" t="str">
            <v>R1386FP</v>
          </cell>
          <cell r="M372" t="str">
            <v>Truth Foundational Ministries</v>
          </cell>
        </row>
        <row r="373">
          <cell r="H373" t="str">
            <v>2nd and 4th Tuesday 10am-2pm</v>
          </cell>
          <cell r="I373" t="str">
            <v>FOODPANTRY</v>
          </cell>
          <cell r="J373" t="str">
            <v>919-288-9550</v>
          </cell>
          <cell r="K373" t="str">
            <v>R1389</v>
          </cell>
          <cell r="L373" t="str">
            <v>R1389FP</v>
          </cell>
          <cell r="M373" t="str">
            <v>TWFC Food-4-Life</v>
          </cell>
        </row>
        <row r="374">
          <cell r="H374" t="str">
            <v xml:space="preserve"> Fridays 10:00 am - 12:00 pm</v>
          </cell>
          <cell r="I374" t="str">
            <v>FOODPANTRY</v>
          </cell>
          <cell r="J374" t="str">
            <v>919-931-7877</v>
          </cell>
          <cell r="K374" t="str">
            <v>R1390</v>
          </cell>
          <cell r="L374" t="str">
            <v>R1390FP</v>
          </cell>
          <cell r="M374" t="str">
            <v>UMOJA Central SDA Church</v>
          </cell>
        </row>
        <row r="375">
          <cell r="H375" t="str">
            <v>Monday, Wednesday, Friday 12:30pm-1:30pm</v>
          </cell>
          <cell r="I375" t="str">
            <v>FOODPANTRY</v>
          </cell>
          <cell r="J375" t="str">
            <v>252-985-1650</v>
          </cell>
          <cell r="K375" t="str">
            <v>R1391</v>
          </cell>
          <cell r="L375" t="str">
            <v>R1391FP</v>
          </cell>
          <cell r="M375" t="str">
            <v>United Community Ministries</v>
          </cell>
        </row>
        <row r="376">
          <cell r="H376" t="str">
            <v>Mon-Fri 8a.m.-10p.m.</v>
          </cell>
          <cell r="I376" t="str">
            <v>SHELTER</v>
          </cell>
          <cell r="K376" t="str">
            <v>R1391</v>
          </cell>
          <cell r="L376" t="str">
            <v>R1391SH</v>
          </cell>
          <cell r="M376" t="str">
            <v>United Community Ministries</v>
          </cell>
        </row>
        <row r="377">
          <cell r="H377" t="str">
            <v>Daily 11am-11:30am</v>
          </cell>
          <cell r="I377" t="str">
            <v>SOUP KITCH</v>
          </cell>
          <cell r="K377" t="str">
            <v>R1391</v>
          </cell>
          <cell r="L377" t="str">
            <v>R1391SK</v>
          </cell>
          <cell r="M377" t="str">
            <v>United Community Ministries</v>
          </cell>
        </row>
        <row r="378">
          <cell r="H378" t="str">
            <v>2nd Tuesday 1pm until food runs out and by emergency</v>
          </cell>
          <cell r="I378" t="str">
            <v>FOODPANTRY</v>
          </cell>
          <cell r="J378" t="str">
            <v>252-204-9352</v>
          </cell>
          <cell r="K378" t="str">
            <v>R1393</v>
          </cell>
          <cell r="L378" t="str">
            <v>R1393FP</v>
          </cell>
          <cell r="M378" t="str">
            <v>United Solid Rock Faith Ministries</v>
          </cell>
        </row>
        <row r="379">
          <cell r="H379" t="str">
            <v>2nd Saturday 9 am- 12 pm, 4th Thursday 6- 9:30 pm</v>
          </cell>
          <cell r="I379" t="str">
            <v>FOODPANTRY</v>
          </cell>
          <cell r="J379" t="str">
            <v>919-829-6160</v>
          </cell>
          <cell r="K379" t="str">
            <v>R1395</v>
          </cell>
          <cell r="L379" t="str">
            <v>R1395FP</v>
          </cell>
          <cell r="M379" t="str">
            <v>Upper Room Church of God</v>
          </cell>
        </row>
        <row r="380">
          <cell r="H380" t="str">
            <v>M-F/9a-1p</v>
          </cell>
          <cell r="I380" t="str">
            <v>FOODPANTRY</v>
          </cell>
          <cell r="J380" t="str">
            <v>919-256-2170</v>
          </cell>
          <cell r="K380" t="str">
            <v>R1396</v>
          </cell>
          <cell r="L380" t="str">
            <v>R1396FP</v>
          </cell>
          <cell r="M380" t="str">
            <v>Urban Ministries of Wake County</v>
          </cell>
        </row>
        <row r="381">
          <cell r="H381" t="str">
            <v>2nd and 4th Tuesday 10"30am-11:30am</v>
          </cell>
          <cell r="I381" t="str">
            <v>FOODPANTRY</v>
          </cell>
          <cell r="J381" t="str">
            <v>252-236-4427</v>
          </cell>
          <cell r="K381" t="str">
            <v>R1397</v>
          </cell>
          <cell r="L381" t="str">
            <v>R1397FP</v>
          </cell>
          <cell r="M381" t="str">
            <v>Vaughn's Chapel MB Church</v>
          </cell>
        </row>
        <row r="382">
          <cell r="H382" t="str">
            <v>2nd Sat at 9:00 and By appointment during office hours</v>
          </cell>
          <cell r="I382" t="str">
            <v>FOODPANTRY</v>
          </cell>
          <cell r="J382" t="str">
            <v>919-872-7776</v>
          </cell>
          <cell r="K382" t="str">
            <v>R1402</v>
          </cell>
          <cell r="L382" t="str">
            <v>R1402FP</v>
          </cell>
          <cell r="M382" t="str">
            <v>Wake Chapel Church</v>
          </cell>
        </row>
        <row r="383">
          <cell r="H383" t="str">
            <v>Monday-Friday 9am-4pm and 1st Tues @11am for Large distribution</v>
          </cell>
          <cell r="I383" t="str">
            <v>FOODPANTRY</v>
          </cell>
          <cell r="J383" t="str">
            <v>910-293-4236</v>
          </cell>
          <cell r="K383" t="str">
            <v>R1410</v>
          </cell>
          <cell r="L383" t="str">
            <v>R1410FP</v>
          </cell>
          <cell r="M383" t="str">
            <v>Warsaw Baptist Church</v>
          </cell>
        </row>
        <row r="384">
          <cell r="H384" t="str">
            <v>Tuesdays 5pm -7pm, Thursday 9am - 10:30 am, last Sat 10am - 12 noon</v>
          </cell>
          <cell r="I384" t="str">
            <v>FOODPANTRY</v>
          </cell>
          <cell r="J384" t="str">
            <v>919-365-8040</v>
          </cell>
          <cell r="K384" t="str">
            <v>R1416</v>
          </cell>
          <cell r="L384" t="str">
            <v>R1416FP</v>
          </cell>
          <cell r="M384" t="str">
            <v>Wendell United Methodist</v>
          </cell>
        </row>
        <row r="385">
          <cell r="H385" t="str">
            <v>Monday to Thursday: 12:30 PM ñ 3:30 PM. Thursday Evening: 5:00 PM ñ 6:45 PM. Last Saturday of each month, when weíre open from 9:00 AM to 12:00 PM</v>
          </cell>
          <cell r="I385" t="str">
            <v>FOODPANTRY</v>
          </cell>
          <cell r="J385" t="str">
            <v>919-362-0657</v>
          </cell>
          <cell r="K385" t="str">
            <v>R1418</v>
          </cell>
          <cell r="L385" t="str">
            <v>R1418FP</v>
          </cell>
          <cell r="M385" t="str">
            <v>Western Wake Crisis Ministry</v>
          </cell>
        </row>
        <row r="386">
          <cell r="H386" t="str">
            <v xml:space="preserve"> Wednesdays and Fridays 11:00am-2:00pm(No Friday before a Saturday Distribution)2nd Saturday 11:00am- 1:00PM</v>
          </cell>
          <cell r="I386" t="str">
            <v>FOODPANTRY</v>
          </cell>
          <cell r="J386" t="str">
            <v>919-362-6768</v>
          </cell>
          <cell r="K386" t="str">
            <v>R1419</v>
          </cell>
          <cell r="L386" t="str">
            <v>R1419FP</v>
          </cell>
          <cell r="M386" t="str">
            <v>White Oak Foundation</v>
          </cell>
        </row>
        <row r="387">
          <cell r="H387" t="str">
            <v>1st &amp; 4th Sat 10:30 am - 12:30 pm</v>
          </cell>
          <cell r="I387" t="str">
            <v>FOODPANTRY</v>
          </cell>
          <cell r="J387" t="str">
            <v>919-829-1282</v>
          </cell>
          <cell r="K387" t="str">
            <v>R1420</v>
          </cell>
          <cell r="L387" t="str">
            <v>R1420FP</v>
          </cell>
          <cell r="M387" t="str">
            <v>Williams Grove Baptist Church</v>
          </cell>
        </row>
        <row r="388">
          <cell r="H388" t="str">
            <v xml:space="preserve"> Tues/Wed/Fri/Sat -- 9:30 am- 12 pm.</v>
          </cell>
          <cell r="I388" t="str">
            <v>FOODPANTRY</v>
          </cell>
          <cell r="J388" t="str">
            <v>919-233-8010</v>
          </cell>
          <cell r="K388" t="str">
            <v>R1422</v>
          </cell>
          <cell r="L388" t="str">
            <v>R1422FP</v>
          </cell>
          <cell r="M388" t="str">
            <v>With Love From Jesus Ministry</v>
          </cell>
        </row>
        <row r="389">
          <cell r="H389" t="str">
            <v xml:space="preserve">4th Thursday 9am-12pm and as needed </v>
          </cell>
          <cell r="I389" t="str">
            <v>FOODPANTRY</v>
          </cell>
          <cell r="J389" t="str">
            <v>919-778-2379</v>
          </cell>
          <cell r="K389" t="str">
            <v>R1423</v>
          </cell>
          <cell r="L389" t="str">
            <v>R1423FP</v>
          </cell>
          <cell r="M389" t="str">
            <v>Woods Chapel UAFWB Church</v>
          </cell>
        </row>
        <row r="390">
          <cell r="H390" t="str">
            <v>Wed 9a.m.- 11:45p.m.</v>
          </cell>
          <cell r="I390" t="str">
            <v>FOODPANTRY</v>
          </cell>
          <cell r="J390" t="str">
            <v>910-296-1728</v>
          </cell>
          <cell r="K390" t="str">
            <v>R1424</v>
          </cell>
          <cell r="L390" t="str">
            <v>R1424FP</v>
          </cell>
          <cell r="M390" t="str">
            <v>Word of Faith Ministries Food</v>
          </cell>
        </row>
        <row r="391">
          <cell r="H391" t="str">
            <v>Mon and  Wed. 9am-12noon and emergencies</v>
          </cell>
          <cell r="I391" t="str">
            <v>DIRECT DST</v>
          </cell>
          <cell r="J391" t="str">
            <v>910-296-1728</v>
          </cell>
          <cell r="K391" t="str">
            <v>R1424</v>
          </cell>
          <cell r="L391" t="str">
            <v>R1424MFP</v>
          </cell>
          <cell r="M391" t="str">
            <v>Word of Faith Ministries Food</v>
          </cell>
        </row>
        <row r="392">
          <cell r="H392" t="str">
            <v>Thurs 1pm - 2pm and as needed</v>
          </cell>
          <cell r="I392" t="str">
            <v>FOODPANTRY</v>
          </cell>
          <cell r="J392" t="str">
            <v>919-834-1141</v>
          </cell>
          <cell r="K392" t="str">
            <v>R1425</v>
          </cell>
          <cell r="L392" t="str">
            <v>R1425FP</v>
          </cell>
          <cell r="M392" t="str">
            <v>Word of God Fellowship</v>
          </cell>
        </row>
        <row r="393">
          <cell r="H393" t="str">
            <v>Tuesday &amp; Thursday 9am to10:30 am</v>
          </cell>
          <cell r="I393" t="str">
            <v>FOODPANTRY</v>
          </cell>
          <cell r="J393" t="str">
            <v>772-360-8739</v>
          </cell>
          <cell r="K393" t="str">
            <v>R1427</v>
          </cell>
          <cell r="L393" t="str">
            <v>R1427FP</v>
          </cell>
          <cell r="M393" t="str">
            <v>Zebulon United Methodist</v>
          </cell>
        </row>
        <row r="394">
          <cell r="H394" t="str">
            <v>3rd Sat 2pm-6pm but during winter it's 2-5pm; every Saturday or Sunday as food is available at 11am (call ahead to confirm for Saturday/Sunday distributions)</v>
          </cell>
          <cell r="I394" t="str">
            <v>FOODPANTRY</v>
          </cell>
          <cell r="J394" t="str">
            <v>252-445-2272</v>
          </cell>
          <cell r="K394" t="str">
            <v>R1467</v>
          </cell>
          <cell r="L394" t="str">
            <v>R1467FP</v>
          </cell>
          <cell r="M394" t="str">
            <v>Building Bridges Without Limits</v>
          </cell>
        </row>
        <row r="395">
          <cell r="H395" t="str">
            <v xml:space="preserve">Thursday 9:30am-12pm &amp; 2-4pm </v>
          </cell>
          <cell r="I395" t="str">
            <v>FOODPANTRY</v>
          </cell>
          <cell r="J395" t="str">
            <v>919-934-2218</v>
          </cell>
          <cell r="K395" t="str">
            <v>R1475</v>
          </cell>
          <cell r="L395" t="str">
            <v>R1475FP</v>
          </cell>
          <cell r="M395" t="str">
            <v>Smithfield Area Ministries Food Closet</v>
          </cell>
        </row>
        <row r="396">
          <cell r="H396" t="str">
            <v>Tuesdays 8:30am-10:30am</v>
          </cell>
          <cell r="I396" t="str">
            <v>FOODPANTRY</v>
          </cell>
          <cell r="J396" t="str">
            <v>919-740-1594</v>
          </cell>
          <cell r="K396" t="str">
            <v>R1493</v>
          </cell>
          <cell r="L396" t="str">
            <v>R1493FP</v>
          </cell>
          <cell r="M396" t="str">
            <v>Our Lady of the Rosary Food Pantry</v>
          </cell>
        </row>
        <row r="397">
          <cell r="H397" t="str">
            <v>1st &amp; 3rd Wednesday, 4th Saturday 9am -11am</v>
          </cell>
          <cell r="I397" t="str">
            <v>FOODPANTRY</v>
          </cell>
          <cell r="J397" t="str">
            <v>919-772-5681</v>
          </cell>
          <cell r="K397" t="str">
            <v>R1503</v>
          </cell>
          <cell r="L397" t="str">
            <v>R1503FP</v>
          </cell>
          <cell r="M397" t="str">
            <v>Solid Rock Ministry International Inc.</v>
          </cell>
        </row>
        <row r="398">
          <cell r="H398" t="str">
            <v xml:space="preserve">Thursday 7pm </v>
          </cell>
          <cell r="I398" t="str">
            <v>FOODPANTRY</v>
          </cell>
          <cell r="J398" t="str">
            <v>252-294-7001</v>
          </cell>
          <cell r="K398" t="str">
            <v>R1507</v>
          </cell>
          <cell r="L398" t="str">
            <v>R1507FP</v>
          </cell>
          <cell r="M398" t="str">
            <v>Movimiento Pentecostal y Misionero Perlas</v>
          </cell>
        </row>
        <row r="399">
          <cell r="H399" t="str">
            <v>MTTH10:30 am - 2:00pm, W 3:30pm - 7:00 pm</v>
          </cell>
          <cell r="I399" t="str">
            <v>FOODPANTRY</v>
          </cell>
          <cell r="J399" t="str">
            <v xml:space="preserve">919-844-6676 x1 </v>
          </cell>
          <cell r="K399" t="str">
            <v>R1510</v>
          </cell>
          <cell r="L399" t="str">
            <v>R1510FP</v>
          </cell>
          <cell r="M399" t="str">
            <v>North Raleigh Ministries</v>
          </cell>
        </row>
        <row r="400">
          <cell r="H400" t="str">
            <v>1st and 3rd Wednesday 3-4pm</v>
          </cell>
          <cell r="I400" t="str">
            <v>FOODPANTRY</v>
          </cell>
          <cell r="J400" t="str">
            <v>226-250-8417</v>
          </cell>
          <cell r="K400" t="str">
            <v>R1511</v>
          </cell>
          <cell r="L400" t="str">
            <v>R1511FP</v>
          </cell>
          <cell r="M400" t="str">
            <v>Princeton United Methodist Food Pantry</v>
          </cell>
        </row>
        <row r="401">
          <cell r="H401" t="str">
            <v xml:space="preserve">3rd Thursday 11am </v>
          </cell>
          <cell r="I401" t="str">
            <v>FOODPANTRY</v>
          </cell>
          <cell r="J401" t="str">
            <v>252-266-6655</v>
          </cell>
          <cell r="K401" t="str">
            <v>R1512</v>
          </cell>
          <cell r="L401" t="str">
            <v>R1512FP2</v>
          </cell>
          <cell r="M401" t="str">
            <v>Three In One Family Center</v>
          </cell>
        </row>
        <row r="402">
          <cell r="H402" t="str">
            <v>Thursday 8am - 12pm</v>
          </cell>
          <cell r="I402" t="str">
            <v>FOODPANTRY</v>
          </cell>
          <cell r="J402" t="str">
            <v>252-266-6655</v>
          </cell>
          <cell r="K402" t="str">
            <v>R1512</v>
          </cell>
          <cell r="L402" t="str">
            <v>R1512FP3</v>
          </cell>
          <cell r="M402" t="str">
            <v>Three In One Family Center</v>
          </cell>
        </row>
        <row r="403">
          <cell r="H403" t="str">
            <v>8:30 AM 1st, 3rd, and 4th Wednesday, monthly</v>
          </cell>
          <cell r="I403" t="str">
            <v>FOODPANTRY</v>
          </cell>
          <cell r="K403" t="str">
            <v>R1512</v>
          </cell>
          <cell r="L403" t="str">
            <v>R1512FP4</v>
          </cell>
          <cell r="M403" t="str">
            <v>Three In One Family Center</v>
          </cell>
        </row>
        <row r="404">
          <cell r="H404" t="str">
            <v>*Open to NCSU students, staff, and faculty* Tue 12- 6 pm, Wed 2- 8 pm, Fri 12- 6 pm, Sat 12- 4 pm</v>
          </cell>
          <cell r="I404" t="str">
            <v>SPC</v>
          </cell>
          <cell r="J404" t="str">
            <v>Feed the Pack Food Pantry | Pack Essentials</v>
          </cell>
          <cell r="K404" t="str">
            <v>R1513</v>
          </cell>
          <cell r="L404" t="str">
            <v>R1513SPC</v>
          </cell>
          <cell r="M404" t="str">
            <v>Feed the Pack</v>
          </cell>
        </row>
        <row r="405">
          <cell r="H405" t="str">
            <v>2nd and 4th Saturdays 10am-12pm</v>
          </cell>
          <cell r="I405" t="str">
            <v>FOODPANTRY</v>
          </cell>
          <cell r="J405" t="str">
            <v>919-810-4471</v>
          </cell>
          <cell r="K405" t="str">
            <v>R1514</v>
          </cell>
          <cell r="L405" t="str">
            <v>R1514FP</v>
          </cell>
          <cell r="M405" t="str">
            <v>REACH Our Communities-Cathedral of Love Ministries</v>
          </cell>
        </row>
        <row r="406">
          <cell r="H406" t="str">
            <v>Monday, Tuesday, Thursday, Friday: 9am-Noon</v>
          </cell>
          <cell r="I406" t="str">
            <v>FOODPANTRY</v>
          </cell>
          <cell r="J406" t="str">
            <v>919-687-0245</v>
          </cell>
          <cell r="K406" t="str">
            <v>R1518</v>
          </cell>
          <cell r="L406" t="str">
            <v>R1518FP</v>
          </cell>
          <cell r="M406" t="str">
            <v>Kirk of Kildaire Presbyterian Church</v>
          </cell>
        </row>
        <row r="407">
          <cell r="H407" t="str">
            <v>2nd Thursday and 4th Friday at 9am</v>
          </cell>
          <cell r="I407" t="str">
            <v>DR AG FP</v>
          </cell>
          <cell r="J407" t="str">
            <v>252-459-2040</v>
          </cell>
          <cell r="K407" t="str">
            <v>R1531</v>
          </cell>
          <cell r="L407" t="str">
            <v>R1531DR</v>
          </cell>
          <cell r="M407" t="str">
            <v>Castalia Community Food Giveaway</v>
          </cell>
        </row>
        <row r="408">
          <cell r="H408" t="str">
            <v xml:space="preserve">every other Saturday 10-11am  </v>
          </cell>
          <cell r="I408" t="str">
            <v>FOODPANTRY</v>
          </cell>
          <cell r="J408" t="str">
            <v>919-741-1598</v>
          </cell>
          <cell r="K408" t="str">
            <v>R1534</v>
          </cell>
          <cell r="L408" t="str">
            <v>R1534FP</v>
          </cell>
          <cell r="M408" t="str">
            <v>Ties for Guys Menís Ministry</v>
          </cell>
        </row>
        <row r="409">
          <cell r="H409" t="str">
            <v>1st &amp; 3rd Saturday from 9a-12p</v>
          </cell>
          <cell r="I409" t="str">
            <v>FOODPANTRY</v>
          </cell>
          <cell r="K409" t="str">
            <v>R1537</v>
          </cell>
          <cell r="L409" t="str">
            <v>R1537FP</v>
          </cell>
          <cell r="M409" t="str">
            <v>S &amp; C Food Pantry</v>
          </cell>
        </row>
        <row r="410">
          <cell r="H410" t="str">
            <v>4th Sat  9am-12pm quarterly ( Jan, April, July &amp; Oct)</v>
          </cell>
          <cell r="I410" t="str">
            <v>FOODPANTRY</v>
          </cell>
          <cell r="K410" t="str">
            <v>R1538</v>
          </cell>
          <cell r="L410" t="str">
            <v>R1538FP</v>
          </cell>
          <cell r="M410" t="str">
            <v>Grace Christian Church</v>
          </cell>
        </row>
        <row r="411">
          <cell r="H411" t="str">
            <v>Fri 10:30 am to 12:30 pm</v>
          </cell>
          <cell r="I411" t="str">
            <v>OTHER FP</v>
          </cell>
          <cell r="J411" t="str">
            <v>919-588-0692</v>
          </cell>
          <cell r="K411" t="str">
            <v>R1543</v>
          </cell>
          <cell r="L411" t="str">
            <v>R1543FP</v>
          </cell>
          <cell r="M411" t="str">
            <v>Vision Church - MP</v>
          </cell>
        </row>
        <row r="412">
          <cell r="H412" t="str">
            <v>every Friday 11am- run out; 1st 2nd &amp; 4th Tuesday 11- run out; 24/7 outdoor pavilion</v>
          </cell>
          <cell r="I412" t="str">
            <v>FOODPANTRY</v>
          </cell>
          <cell r="J412" t="str">
            <v>919-495-7090</v>
          </cell>
          <cell r="K412" t="str">
            <v>R1545</v>
          </cell>
          <cell r="L412" t="str">
            <v>R1545FP</v>
          </cell>
          <cell r="M412" t="str">
            <v>Blessings Inc/Saint Paul Presbyterian Church</v>
          </cell>
        </row>
        <row r="413">
          <cell r="H413" t="str">
            <v xml:space="preserve">Thursday and Friday 11am-2pm </v>
          </cell>
          <cell r="I413" t="str">
            <v>FOODPANTRY</v>
          </cell>
          <cell r="J413" t="str">
            <v>910-497-7100</v>
          </cell>
          <cell r="K413" t="str">
            <v>R1549</v>
          </cell>
          <cell r="L413" t="str">
            <v>R1549FP</v>
          </cell>
          <cell r="M413" t="str">
            <v>Hand-ee</v>
          </cell>
        </row>
        <row r="414">
          <cell r="H414" t="str">
            <v xml:space="preserve">Tuesday 10-11am </v>
          </cell>
          <cell r="I414" t="str">
            <v>FOODPANTRY</v>
          </cell>
          <cell r="J414" t="str">
            <v>919-778-8557 ext 203</v>
          </cell>
          <cell r="K414" t="str">
            <v>R1554</v>
          </cell>
          <cell r="L414" t="str">
            <v>R1554FP</v>
          </cell>
          <cell r="M414" t="str">
            <v>Goldsboro Family YMCA</v>
          </cell>
        </row>
        <row r="415">
          <cell r="H415" t="str">
            <v>June-Sept: 11am-1pm every third Thursday; October-May 1pm-3pm every third Thursday; also available on call for emergency food</v>
          </cell>
          <cell r="I415" t="str">
            <v>FOODPANTRY</v>
          </cell>
          <cell r="J415" t="str">
            <v>252-592-6070</v>
          </cell>
          <cell r="K415" t="str">
            <v>R1555</v>
          </cell>
          <cell r="L415" t="str">
            <v>R1555FP</v>
          </cell>
          <cell r="M415" t="str">
            <v>Community of Hope Center</v>
          </cell>
        </row>
        <row r="416">
          <cell r="H416" t="str">
            <v>Every Tuesday (11am-2pm) and every Saturday (9am-12pm)</v>
          </cell>
          <cell r="I416" t="str">
            <v>FOODPANTRY</v>
          </cell>
          <cell r="J416" t="str">
            <v>919-902-1013</v>
          </cell>
          <cell r="K416" t="str">
            <v>R1560</v>
          </cell>
          <cell r="L416" t="str">
            <v>R1560FP</v>
          </cell>
          <cell r="M416" t="str">
            <v>Restoration Church and Outreach Ministries</v>
          </cell>
        </row>
        <row r="417">
          <cell r="H417" t="str">
            <v>3rd Friday 12:00 pm - 3:00 pm, &amp; as needed</v>
          </cell>
          <cell r="I417" t="str">
            <v>FOODPANTRY</v>
          </cell>
          <cell r="K417" t="str">
            <v>R1563</v>
          </cell>
          <cell r="L417" t="str">
            <v>R1563FP</v>
          </cell>
          <cell r="M417" t="str">
            <v>Iglesia Tabernaculo De Restauracion</v>
          </cell>
        </row>
        <row r="418">
          <cell r="H418" t="str">
            <v>Tuesday's 12:30pm-2:30pm and 1st Saturday of September, December, March, and June 8-10:30am</v>
          </cell>
          <cell r="I418" t="str">
            <v>FOODPANTRY</v>
          </cell>
          <cell r="J418" t="str">
            <v>919-414-2091</v>
          </cell>
          <cell r="K418" t="str">
            <v>R1571</v>
          </cell>
          <cell r="L418" t="str">
            <v>R1571FP</v>
          </cell>
          <cell r="M418" t="str">
            <v>The Journey Ministry</v>
          </cell>
        </row>
        <row r="419">
          <cell r="H419" t="str">
            <v>every Wednesday 1-2pm/1st, 4th, and 5th Sunday's 2-3pm</v>
          </cell>
          <cell r="I419" t="str">
            <v>FOODPANTRY</v>
          </cell>
          <cell r="J419" t="str">
            <v>919-880-5708</v>
          </cell>
          <cell r="K419" t="str">
            <v>R1581</v>
          </cell>
          <cell r="L419" t="str">
            <v>R1581FP</v>
          </cell>
          <cell r="M419" t="str">
            <v>Pine Ridge Baptist Church</v>
          </cell>
        </row>
        <row r="420">
          <cell r="H420" t="str">
            <v>1st &amp; 3rd Saturday 9am - 1pm</v>
          </cell>
          <cell r="I420" t="str">
            <v>FOODPANTRY</v>
          </cell>
          <cell r="J420" t="str">
            <v>919-772-8078</v>
          </cell>
          <cell r="K420" t="str">
            <v>R1585</v>
          </cell>
          <cell r="L420" t="str">
            <v>R1585FP</v>
          </cell>
          <cell r="M420" t="str">
            <v>Springfield Baptist Church</v>
          </cell>
        </row>
        <row r="421">
          <cell r="H421" t="str">
            <v>Wednesdays, 12pm - 1pm</v>
          </cell>
          <cell r="I421" t="str">
            <v>FOODPANTRY</v>
          </cell>
          <cell r="J421" t="str">
            <v>919-832-1390</v>
          </cell>
          <cell r="K421" t="str">
            <v>R1586</v>
          </cell>
          <cell r="L421" t="str">
            <v>R1586FP</v>
          </cell>
          <cell r="M421" t="str">
            <v>Open Table</v>
          </cell>
        </row>
        <row r="422">
          <cell r="H422" t="str">
            <v>1st, 3rd &amp; 5th Sat 11:00 am-12:30 pm</v>
          </cell>
          <cell r="I422" t="str">
            <v>FOODPANTRY</v>
          </cell>
          <cell r="J422" t="str">
            <v>919-954-8800</v>
          </cell>
          <cell r="K422" t="str">
            <v>R1587</v>
          </cell>
          <cell r="L422" t="str">
            <v>R1587FP</v>
          </cell>
          <cell r="M422" t="str">
            <v>Celebration Church</v>
          </cell>
        </row>
        <row r="423">
          <cell r="H423" t="str">
            <v>1st &amp; 3rd Saturday 10:30am-12pm</v>
          </cell>
          <cell r="I423" t="str">
            <v>FOODPANTRY</v>
          </cell>
          <cell r="J423" t="str">
            <v>910-214-1614</v>
          </cell>
          <cell r="K423" t="str">
            <v>R1591</v>
          </cell>
          <cell r="L423" t="str">
            <v>R1591FP</v>
          </cell>
          <cell r="M423" t="str">
            <v>Nothing But the Truth Ministry</v>
          </cell>
        </row>
        <row r="424">
          <cell r="H424" t="str">
            <v>Tues &amp; Thurs 2pm-4pm, Sat 2pm-3pm</v>
          </cell>
          <cell r="I424" t="str">
            <v>FOODPANTRY</v>
          </cell>
          <cell r="J424" t="str">
            <v>919-880-5065</v>
          </cell>
          <cell r="K424" t="str">
            <v>R1593</v>
          </cell>
          <cell r="L424" t="str">
            <v>R1593FP</v>
          </cell>
          <cell r="M424" t="str">
            <v>Lincoln Park Holiness Church</v>
          </cell>
        </row>
        <row r="425">
          <cell r="H425" t="str">
            <v>3rd Saturday 10am-12pm, every Sunday 1pm-2pm</v>
          </cell>
          <cell r="I425" t="str">
            <v>FOODPANTRY</v>
          </cell>
          <cell r="J425" t="str">
            <v>919-452-5386</v>
          </cell>
          <cell r="K425" t="str">
            <v>R1595</v>
          </cell>
          <cell r="L425" t="str">
            <v>R1595FP</v>
          </cell>
          <cell r="M425" t="str">
            <v>Concord Baptist Church</v>
          </cell>
        </row>
        <row r="426">
          <cell r="H426" t="str">
            <v>Every other Mon 8am-12pm, 3rd Tue 12pm-2pm</v>
          </cell>
          <cell r="I426" t="str">
            <v>FOODPANTRY</v>
          </cell>
          <cell r="J426" t="str">
            <v>984-365-6222</v>
          </cell>
          <cell r="K426" t="str">
            <v>R1605</v>
          </cell>
          <cell r="L426" t="str">
            <v>R1605FP</v>
          </cell>
          <cell r="M426" t="str">
            <v>The Way Church</v>
          </cell>
        </row>
        <row r="427">
          <cell r="H427" t="str">
            <v>1st and 3rd Sat 10 am- 12 pm</v>
          </cell>
          <cell r="I427" t="str">
            <v>FOODPANTRY</v>
          </cell>
          <cell r="J427" t="str">
            <v>919-277-1680</v>
          </cell>
          <cell r="K427" t="str">
            <v>R1606</v>
          </cell>
          <cell r="L427" t="str">
            <v>R1606FP</v>
          </cell>
          <cell r="M427" t="str">
            <v>Compass Christian Church</v>
          </cell>
        </row>
        <row r="428">
          <cell r="H428" t="str">
            <v>Every Thursday 2-4pm; Every Saturday 12-2; Every Sunday as needed from 1:30pm-2:30pm</v>
          </cell>
          <cell r="I428" t="str">
            <v>FOODPANTRY</v>
          </cell>
          <cell r="J428" t="str">
            <v>252-904-8562</v>
          </cell>
          <cell r="K428" t="str">
            <v>R1608</v>
          </cell>
          <cell r="L428" t="str">
            <v>R1608FP</v>
          </cell>
          <cell r="M428" t="str">
            <v>Joyful Hope Station</v>
          </cell>
        </row>
        <row r="429">
          <cell r="H429" t="str">
            <v>Tuesday after the first and third Sunday from 2-4pm and Sundayís at 12pm</v>
          </cell>
          <cell r="I429" t="str">
            <v>FOODPANTRY</v>
          </cell>
          <cell r="J429" t="str">
            <v>919-495-4441</v>
          </cell>
          <cell r="K429" t="str">
            <v>R1609</v>
          </cell>
          <cell r="L429" t="str">
            <v>R1609FP</v>
          </cell>
          <cell r="M429" t="str">
            <v>Franklin County Interfaith Council- Allen Chapel</v>
          </cell>
        </row>
        <row r="430">
          <cell r="H430" t="str">
            <v>Thursday's 3pm-5pm; Saturday before 4th Sunday 8am-11am</v>
          </cell>
          <cell r="I430" t="str">
            <v>FOODPANTRY</v>
          </cell>
          <cell r="J430" t="str">
            <v>919-671-3010</v>
          </cell>
          <cell r="K430" t="str">
            <v>R1610</v>
          </cell>
          <cell r="L430" t="str">
            <v>R1610FP</v>
          </cell>
          <cell r="M430" t="str">
            <v>Pantry of H.O.P.E.</v>
          </cell>
        </row>
        <row r="431">
          <cell r="H431" t="str">
            <v>Monday - Wednesday 3:45pm - 4:30pm</v>
          </cell>
          <cell r="I431" t="str">
            <v>SOUP KITCH</v>
          </cell>
          <cell r="J431" t="str">
            <v>919-827-7475</v>
          </cell>
          <cell r="K431" t="str">
            <v>R1612</v>
          </cell>
          <cell r="L431" t="str">
            <v>R1612SK</v>
          </cell>
          <cell r="M431" t="str">
            <v>Grace AME Church</v>
          </cell>
        </row>
        <row r="432">
          <cell r="H432" t="str">
            <v>1st &amp; 3rd Saturday 12pm-2pm</v>
          </cell>
          <cell r="I432" t="str">
            <v>FOODPANTRY</v>
          </cell>
          <cell r="J432" t="str">
            <v>919-451-0424</v>
          </cell>
          <cell r="K432" t="str">
            <v>R1613</v>
          </cell>
          <cell r="L432" t="str">
            <v>R1613FP</v>
          </cell>
          <cell r="M432" t="str">
            <v>Saint James Christian Church Disciples of Christ</v>
          </cell>
        </row>
        <row r="433">
          <cell r="H433" t="str">
            <v>4th Wednesday 10am and also by emergency</v>
          </cell>
          <cell r="I433" t="str">
            <v>DIRECT DST</v>
          </cell>
          <cell r="J433" t="str">
            <v>252-213-0206</v>
          </cell>
          <cell r="K433" t="str">
            <v>R1614</v>
          </cell>
          <cell r="L433" t="str">
            <v>R1614FP</v>
          </cell>
          <cell r="M433" t="str">
            <v>Olive Grove Missionary Baptist Church</v>
          </cell>
        </row>
        <row r="434">
          <cell r="H434" t="str">
            <v>Tuesday and Friday: 9 am to 1 pm &amp; Emergencies 2 pm to 5 pm</v>
          </cell>
          <cell r="I434" t="str">
            <v>FOODPANTRY</v>
          </cell>
          <cell r="J434" t="str">
            <v>919-391-7300</v>
          </cell>
          <cell r="K434" t="str">
            <v>R1617</v>
          </cell>
          <cell r="L434" t="str">
            <v>R1617FP</v>
          </cell>
          <cell r="M434" t="str">
            <v>The Help Center NC - Louisburg</v>
          </cell>
        </row>
        <row r="435">
          <cell r="H435" t="str">
            <v>Monday-Friday 10am-2pm and also by appointment</v>
          </cell>
          <cell r="I435" t="str">
            <v>FOODPANTRY</v>
          </cell>
          <cell r="J435" t="str">
            <v>252-673-5080</v>
          </cell>
          <cell r="K435" t="str">
            <v>R1619</v>
          </cell>
          <cell r="L435" t="str">
            <v>R1619FP</v>
          </cell>
          <cell r="M435" t="str">
            <v>A Better Chance, A Better Community</v>
          </cell>
        </row>
        <row r="436">
          <cell r="H436" t="str">
            <v>Sat 11am-12pm</v>
          </cell>
          <cell r="I436" t="str">
            <v>FOODPANTRY</v>
          </cell>
          <cell r="K436" t="str">
            <v>R1620</v>
          </cell>
          <cell r="L436" t="str">
            <v>R1620FP</v>
          </cell>
          <cell r="M436" t="str">
            <v>South Raleigh Inwood Care Pantry</v>
          </cell>
        </row>
        <row r="437">
          <cell r="H437" t="str">
            <v xml:space="preserve">Sundays 12:30pm and 3rd Saturday 12pm </v>
          </cell>
          <cell r="I437" t="str">
            <v>FOODPANTRY</v>
          </cell>
          <cell r="J437" t="str">
            <v>99-520-8424</v>
          </cell>
          <cell r="K437" t="str">
            <v>R1622</v>
          </cell>
          <cell r="L437" t="str">
            <v>R1622FP</v>
          </cell>
          <cell r="M437" t="str">
            <v>Kingdom Christ Church</v>
          </cell>
        </row>
        <row r="438">
          <cell r="H438" t="str">
            <v>4th Sunday's at 3pm, 3rd Wednesday's at 2pm</v>
          </cell>
          <cell r="I438" t="str">
            <v>FOODPANTRY</v>
          </cell>
          <cell r="J438" t="str">
            <v>252-908-2282</v>
          </cell>
          <cell r="K438" t="str">
            <v>R1623</v>
          </cell>
          <cell r="L438" t="str">
            <v>R1623FP</v>
          </cell>
          <cell r="M438" t="str">
            <v>Mission in Action</v>
          </cell>
        </row>
        <row r="439">
          <cell r="H439" t="str">
            <v>Thursdays 4:30- 6:30†pm</v>
          </cell>
          <cell r="I439" t="str">
            <v>FOODPANTRY</v>
          </cell>
          <cell r="K439" t="str">
            <v>R1624</v>
          </cell>
          <cell r="L439" t="str">
            <v>R1624FP</v>
          </cell>
          <cell r="M439" t="str">
            <v>Iglesia Pentecostal Puerta Al Cielo</v>
          </cell>
        </row>
        <row r="440">
          <cell r="H440" t="str">
            <v>3rd Saturday 9am-12pm</v>
          </cell>
          <cell r="I440" t="str">
            <v>FOODPANTRY</v>
          </cell>
          <cell r="K440" t="str">
            <v>R1625</v>
          </cell>
          <cell r="L440" t="str">
            <v>R1625FP</v>
          </cell>
          <cell r="M440" t="str">
            <v>Oak City Baptist Church</v>
          </cell>
        </row>
        <row r="441">
          <cell r="H441" t="str">
            <v>2nd &amp; 4th Thursday 9am-12pm</v>
          </cell>
          <cell r="I441" t="str">
            <v>DIRECT DST</v>
          </cell>
          <cell r="J441" t="str">
            <v>919-727-2087</v>
          </cell>
          <cell r="K441" t="str">
            <v>R1626</v>
          </cell>
          <cell r="L441" t="str">
            <v>R1626FP</v>
          </cell>
          <cell r="M441" t="str">
            <v>Sandy Creek Baptist Church</v>
          </cell>
        </row>
        <row r="442">
          <cell r="H442" t="str">
            <v>Every Monday and Wednesday 3:30pm-5:30pm</v>
          </cell>
          <cell r="I442" t="str">
            <v>FOODPANTRY</v>
          </cell>
          <cell r="J442" t="str">
            <v>919-398-4695</v>
          </cell>
          <cell r="K442" t="str">
            <v>R1627</v>
          </cell>
          <cell r="L442" t="str">
            <v>R1627FP</v>
          </cell>
          <cell r="M442" t="str">
            <v>Sowing Seeds NC</v>
          </cell>
        </row>
        <row r="443">
          <cell r="H443" t="str">
            <v>1st &amp; 3rd Thursday's 9-10:30am; 1st Saturday 9-10:30am</v>
          </cell>
          <cell r="I443" t="str">
            <v>FOODPANTRY</v>
          </cell>
          <cell r="J443" t="str">
            <v>252-213-4859</v>
          </cell>
          <cell r="K443" t="str">
            <v>R1638</v>
          </cell>
          <cell r="L443" t="str">
            <v>R1638FP</v>
          </cell>
          <cell r="M443" t="str">
            <v>Warrenton Missionary Baptist Church</v>
          </cell>
        </row>
        <row r="444">
          <cell r="H444" t="str">
            <v>Mon &amp; Tue 1pm -3pm, W 10am -12pm, 4th Sat 10am -12pm</v>
          </cell>
          <cell r="I444" t="str">
            <v>FOODPANTRY</v>
          </cell>
          <cell r="J444" t="str">
            <v>207-838-1493</v>
          </cell>
          <cell r="K444" t="str">
            <v>R1641</v>
          </cell>
          <cell r="L444" t="str">
            <v>R1641FP</v>
          </cell>
          <cell r="M444" t="str">
            <v>Wake Relief</v>
          </cell>
        </row>
        <row r="445">
          <cell r="H445" t="str">
            <v>Saturdays 10-12</v>
          </cell>
          <cell r="I445" t="str">
            <v>FOODPANTRY</v>
          </cell>
          <cell r="J445" t="str">
            <v>919-288-5655</v>
          </cell>
          <cell r="K445" t="str">
            <v>R1643</v>
          </cell>
          <cell r="L445" t="str">
            <v>R1643FP</v>
          </cell>
          <cell r="M445" t="str">
            <v>Kingdom Builders Youth Development Program</v>
          </cell>
        </row>
        <row r="446">
          <cell r="H446" t="str">
            <v>Saturdays 8am-12pm</v>
          </cell>
          <cell r="I446" t="str">
            <v>FOODPANTRY</v>
          </cell>
          <cell r="J446" t="str">
            <v>910-694-6658</v>
          </cell>
          <cell r="K446" t="str">
            <v>R1644</v>
          </cell>
          <cell r="L446" t="str">
            <v>R1644FP</v>
          </cell>
          <cell r="M446" t="str">
            <v>The Haven Church</v>
          </cell>
        </row>
        <row r="447">
          <cell r="H447" t="str">
            <v>1st &amp; 3rd Friday 10am-12pm</v>
          </cell>
          <cell r="I447" t="str">
            <v>FOODPANTRY</v>
          </cell>
          <cell r="K447" t="str">
            <v>R1645</v>
          </cell>
          <cell r="L447" t="str">
            <v>R1645FP</v>
          </cell>
          <cell r="M447" t="str">
            <v>Bridges of Hope Outreach Ministry</v>
          </cell>
        </row>
        <row r="448">
          <cell r="H448" t="str">
            <v>2nd &amp; 4th Friday's 4-6:30pm</v>
          </cell>
          <cell r="I448" t="str">
            <v>FOODPANTRY</v>
          </cell>
          <cell r="J448" t="str">
            <v>252-991-4018</v>
          </cell>
          <cell r="K448" t="str">
            <v>R1652</v>
          </cell>
          <cell r="L448" t="str">
            <v>R1652FP</v>
          </cell>
          <cell r="M448" t="str">
            <v>Wilson Youth United Inc. dba The SPOT</v>
          </cell>
        </row>
        <row r="449">
          <cell r="H449" t="str">
            <v>Every Friday 5pm-7pm; 2nd &amp; 4th Tuesday's 12pm-2pm delivery to Bunn Manor Apartments</v>
          </cell>
          <cell r="I449" t="str">
            <v>FOODPANTRY</v>
          </cell>
          <cell r="J449" t="str">
            <v>919-945-9636</v>
          </cell>
          <cell r="K449" t="str">
            <v>R1665</v>
          </cell>
          <cell r="L449" t="str">
            <v>R1665FP</v>
          </cell>
          <cell r="M449" t="str">
            <v>Tar River Cowboy Church "Feed My People"</v>
          </cell>
        </row>
        <row r="450">
          <cell r="H450" t="str">
            <v xml:space="preserve"> Monday 10 AM-12 PM and Friday 10 AM- 12 PM</v>
          </cell>
          <cell r="I450" t="str">
            <v>FOODPANTRY</v>
          </cell>
          <cell r="J450" t="str">
            <v>910-281-5907</v>
          </cell>
          <cell r="K450" t="str">
            <v>S1005</v>
          </cell>
          <cell r="L450" t="str">
            <v>S1005FP</v>
          </cell>
          <cell r="M450" t="str">
            <v>Avery's Chapel FWB Church</v>
          </cell>
        </row>
        <row r="451">
          <cell r="H451" t="str">
            <v>3rd and 4th Friday 9:30am  3rd Wed. TEFAP at 11am</v>
          </cell>
          <cell r="I451" t="str">
            <v>FOODPANTRY</v>
          </cell>
          <cell r="J451" t="str">
            <v>910-783-7616</v>
          </cell>
          <cell r="K451" t="str">
            <v>S1009</v>
          </cell>
          <cell r="L451" t="str">
            <v>S1009FP</v>
          </cell>
          <cell r="M451" t="str">
            <v>Blue Angel Outreach</v>
          </cell>
        </row>
        <row r="452">
          <cell r="H452" t="str">
            <v>1st and 3rd  Saturdays 8:00-9:30am</v>
          </cell>
          <cell r="I452" t="str">
            <v>FOODPANTRY</v>
          </cell>
          <cell r="J452" t="str">
            <v>910-603-0413</v>
          </cell>
          <cell r="K452" t="str">
            <v>S1014</v>
          </cell>
          <cell r="L452" t="str">
            <v>S1014FP</v>
          </cell>
          <cell r="M452" t="str">
            <v>Carthage United Methodist</v>
          </cell>
        </row>
        <row r="453">
          <cell r="H453" t="str">
            <v>Saturdays 8:00-10:00am</v>
          </cell>
          <cell r="I453" t="str">
            <v>FOODPANTRY</v>
          </cell>
          <cell r="J453" t="str">
            <v>910-215-3685</v>
          </cell>
          <cell r="K453" t="str">
            <v>S1015</v>
          </cell>
          <cell r="L453" t="str">
            <v>S1015FP</v>
          </cell>
          <cell r="M453" t="str">
            <v>Christ Memorial Church</v>
          </cell>
        </row>
        <row r="454">
          <cell r="H454" t="str">
            <v>Wednesdays 9:30am-12:30pm</v>
          </cell>
          <cell r="I454" t="str">
            <v>FOODPANTRY</v>
          </cell>
          <cell r="J454" t="str">
            <v>910-947-3020</v>
          </cell>
          <cell r="K454" t="str">
            <v>S1016</v>
          </cell>
          <cell r="L454" t="str">
            <v>S1016FP</v>
          </cell>
          <cell r="M454" t="str">
            <v>Christian Mission Center</v>
          </cell>
        </row>
        <row r="455">
          <cell r="H455" t="str">
            <v>Mon., Wed., and Fri., 8:30am-12:00pm</v>
          </cell>
          <cell r="I455" t="str">
            <v>FOODPANTRY</v>
          </cell>
          <cell r="J455" t="str">
            <v>910-276-8330</v>
          </cell>
          <cell r="K455" t="str">
            <v>S1017</v>
          </cell>
          <cell r="L455" t="str">
            <v>S1017FP</v>
          </cell>
          <cell r="M455" t="str">
            <v>Church Community Services</v>
          </cell>
        </row>
        <row r="456">
          <cell r="H456" t="str">
            <v>2nd and 4th Sat. 10 AM-11 AM</v>
          </cell>
          <cell r="I456" t="str">
            <v>FOODPANTRY</v>
          </cell>
          <cell r="J456" t="str">
            <v>910-673-2839</v>
          </cell>
          <cell r="K456" t="str">
            <v>S1031</v>
          </cell>
          <cell r="L456" t="str">
            <v>S1031FP</v>
          </cell>
          <cell r="M456" t="str">
            <v>Eagle Springs Baptist Church</v>
          </cell>
        </row>
        <row r="457">
          <cell r="H457" t="str">
            <v>Fridays at 1pm (direct distribution) &amp; Saturdays at 10:30am-1:30 PM</v>
          </cell>
          <cell r="I457" t="str">
            <v>FOODPANTRY</v>
          </cell>
          <cell r="J457" t="str">
            <v>910-997-4391</v>
          </cell>
          <cell r="K457" t="str">
            <v>S1032</v>
          </cell>
          <cell r="L457" t="str">
            <v>S1032FP</v>
          </cell>
          <cell r="M457" t="str">
            <v>Faith Assembly Church</v>
          </cell>
        </row>
        <row r="458">
          <cell r="H458" t="str">
            <v>Tues 5:45PM- 7PM dinner; 1st, 2nd, 3rd Sundays 9 AM breakfast delivery to seniors only and breakfast available to the community at the church</v>
          </cell>
          <cell r="I458" t="str">
            <v>SOUP KITCH</v>
          </cell>
          <cell r="J458" t="str">
            <v>910-997-4391</v>
          </cell>
          <cell r="K458" t="str">
            <v>S1032</v>
          </cell>
          <cell r="L458" t="str">
            <v>S1032SK</v>
          </cell>
          <cell r="M458" t="str">
            <v>Faith Assembly Church</v>
          </cell>
        </row>
        <row r="459">
          <cell r="H459" t="str">
            <v>Every Thursday 12-3pm</v>
          </cell>
          <cell r="I459" t="str">
            <v>FOODPANTRY</v>
          </cell>
          <cell r="J459" t="str">
            <v>910-334-1009</v>
          </cell>
          <cell r="K459" t="str">
            <v>S1044</v>
          </cell>
          <cell r="L459" t="str">
            <v>S1044FP</v>
          </cell>
          <cell r="M459" t="str">
            <v>Helping Hands of Hamlet</v>
          </cell>
        </row>
        <row r="460">
          <cell r="H460" t="str">
            <v>Second &amp; Fourth Saturday of each month; 7:00 a.m. - 8:30 a.m.</v>
          </cell>
          <cell r="I460" t="str">
            <v>FOODPANTRY</v>
          </cell>
          <cell r="J460" t="str">
            <v>910-464-2669</v>
          </cell>
          <cell r="K460" t="str">
            <v>S1045</v>
          </cell>
          <cell r="L460" t="str">
            <v>S1045FP</v>
          </cell>
          <cell r="M460" t="str">
            <v>High Falls United Methodist</v>
          </cell>
        </row>
        <row r="461">
          <cell r="H461" t="str">
            <v>Thursday 11-2pm Tuesday (for unhoused only) and Sunday at 3 PM (for unhoused only)</v>
          </cell>
          <cell r="I461" t="str">
            <v>FOODPANTRY</v>
          </cell>
          <cell r="J461" t="str">
            <v>917-566-1961</v>
          </cell>
          <cell r="K461" t="str">
            <v>S1049</v>
          </cell>
          <cell r="L461" t="str">
            <v>S1049FP</v>
          </cell>
          <cell r="M461" t="str">
            <v>Jesus Is Justice Mission Inc</v>
          </cell>
        </row>
        <row r="462">
          <cell r="H462" t="str">
            <v>Tuesdays 12pm</v>
          </cell>
          <cell r="I462" t="str">
            <v>SOUP KITCH</v>
          </cell>
          <cell r="J462" t="str">
            <v>910-995-2943</v>
          </cell>
          <cell r="K462" t="str">
            <v>S1050</v>
          </cell>
          <cell r="L462" t="str">
            <v>S1050SK</v>
          </cell>
          <cell r="M462" t="str">
            <v>King's Gate Church</v>
          </cell>
        </row>
        <row r="463">
          <cell r="H463" t="str">
            <v>Tuesdays 2-3pm</v>
          </cell>
          <cell r="I463" t="str">
            <v>FOODPANTRY</v>
          </cell>
          <cell r="J463" t="str">
            <v>910-434-3160</v>
          </cell>
          <cell r="K463" t="str">
            <v>S1055</v>
          </cell>
          <cell r="L463" t="str">
            <v>S1055FP</v>
          </cell>
          <cell r="M463" t="str">
            <v>Mineral Springs Improvement</v>
          </cell>
        </row>
        <row r="464">
          <cell r="H464" t="str">
            <v>every Saturday 7:30a-9:30a</v>
          </cell>
          <cell r="I464" t="str">
            <v>FOODPANTRY</v>
          </cell>
          <cell r="J464" t="str">
            <v>910-220-1283</v>
          </cell>
          <cell r="K464" t="str">
            <v>S1058</v>
          </cell>
          <cell r="L464" t="str">
            <v>S1058FP</v>
          </cell>
          <cell r="M464" t="str">
            <v>Montgomery Churches in Action</v>
          </cell>
        </row>
        <row r="465">
          <cell r="H465" t="str">
            <v>2nd and 4th Saturday 11am-12pm</v>
          </cell>
          <cell r="I465" t="str">
            <v>FOODPANTRY</v>
          </cell>
          <cell r="J465" t="str">
            <v>910-895-5792</v>
          </cell>
          <cell r="K465" t="str">
            <v>S1059</v>
          </cell>
          <cell r="L465" t="str">
            <v>S1059FP</v>
          </cell>
          <cell r="M465" t="str">
            <v>Mt Zion UCC/Rockingham</v>
          </cell>
        </row>
        <row r="466">
          <cell r="H466" t="str">
            <v>1st Wednesday of the mon. 3pm-until  Every Mon-Thurs. 10am-11:30am fresh produce distribution</v>
          </cell>
          <cell r="I466" t="str">
            <v>FOODPANTRY</v>
          </cell>
          <cell r="J466" t="str">
            <v>910-639-7382</v>
          </cell>
          <cell r="K466" t="str">
            <v>S1063</v>
          </cell>
          <cell r="L466" t="str">
            <v>S1063FP</v>
          </cell>
          <cell r="M466" t="str">
            <v>New Zion Ame Zion Church</v>
          </cell>
        </row>
        <row r="467">
          <cell r="H467" t="str">
            <v>Tuesday/Wednesday/Thursday-9:30am-12:30pm</v>
          </cell>
          <cell r="I467" t="str">
            <v>FOODPANTRY</v>
          </cell>
          <cell r="J467" t="str">
            <v>910-895-3536</v>
          </cell>
          <cell r="K467" t="str">
            <v>S1065</v>
          </cell>
          <cell r="L467" t="str">
            <v>S1065FP1</v>
          </cell>
          <cell r="M467" t="str">
            <v>Our Daily Bread Christian Food</v>
          </cell>
        </row>
        <row r="468">
          <cell r="H468" t="str">
            <v>bi-weekly Thurs 3-4pm</v>
          </cell>
          <cell r="I468" t="str">
            <v>FOODPANTRY</v>
          </cell>
          <cell r="J468" t="str">
            <v>910-206-2959</v>
          </cell>
          <cell r="K468" t="str">
            <v>S1066</v>
          </cell>
          <cell r="L468" t="str">
            <v>S1066FP</v>
          </cell>
          <cell r="M468" t="str">
            <v>Outreach for Jesus</v>
          </cell>
        </row>
        <row r="469">
          <cell r="H469" t="str">
            <v>Third Saturday of each month 8:00-9:30a.m. M-F Emergency Asst. by appointment</v>
          </cell>
          <cell r="I469" t="str">
            <v>FOODPANTRY</v>
          </cell>
          <cell r="J469" t="str">
            <v>910-986-3549</v>
          </cell>
          <cell r="K469" t="str">
            <v>S1068</v>
          </cell>
          <cell r="L469" t="str">
            <v>S1068FP</v>
          </cell>
          <cell r="M469" t="str">
            <v>Pinebluff United Methodist Church</v>
          </cell>
        </row>
        <row r="470">
          <cell r="H470" t="str">
            <v>2nd and 4th Wed 10 AM- 12 PM</v>
          </cell>
          <cell r="I470" t="str">
            <v>FOODPANTRY</v>
          </cell>
          <cell r="J470" t="str">
            <v>910-582-1177</v>
          </cell>
          <cell r="K470" t="str">
            <v>S1070</v>
          </cell>
          <cell r="L470" t="str">
            <v>S1070FP</v>
          </cell>
          <cell r="M470" t="str">
            <v>Prayer and Faith Temple Church</v>
          </cell>
        </row>
        <row r="471">
          <cell r="H471" t="str">
            <v>Monday Tuesday  Friday 8:30am-11am</v>
          </cell>
          <cell r="I471" t="str">
            <v>FOODPANTRY</v>
          </cell>
          <cell r="J471" t="str">
            <v>910-276-4460/910-277-1601</v>
          </cell>
          <cell r="K471" t="str">
            <v>S1072</v>
          </cell>
          <cell r="L471" t="str">
            <v>S1072FP</v>
          </cell>
          <cell r="M471" t="str">
            <v>Restoring Hope Center</v>
          </cell>
        </row>
        <row r="472">
          <cell r="H472" t="str">
            <v>1st and 3rd Sat  8am-10am</v>
          </cell>
          <cell r="I472" t="str">
            <v>FOODPANTRY</v>
          </cell>
          <cell r="J472" t="str">
            <v>910-638-4426 cell</v>
          </cell>
          <cell r="K472" t="str">
            <v>S1074</v>
          </cell>
          <cell r="L472" t="str">
            <v>S1074FP</v>
          </cell>
          <cell r="M472" t="str">
            <v>Robbins Area Christian</v>
          </cell>
        </row>
        <row r="473">
          <cell r="H473" t="str">
            <v>2nd and Fourth Saturday 9am-12pm 1st and 3rd Friday 2-4pm</v>
          </cell>
          <cell r="I473" t="str">
            <v>FOODPANTRY</v>
          </cell>
          <cell r="J473" t="str">
            <v>910-277-3355 office</v>
          </cell>
          <cell r="K473" t="str">
            <v>S1075</v>
          </cell>
          <cell r="L473" t="str">
            <v>S1075FP</v>
          </cell>
          <cell r="M473" t="str">
            <v>Partners In Ministry</v>
          </cell>
        </row>
        <row r="474">
          <cell r="H474" t="str">
            <v>Mon-Thurs. 9 AM-12 PM and 1 PM- 4PM</v>
          </cell>
          <cell r="I474" t="str">
            <v>FOODPANTRY</v>
          </cell>
          <cell r="J474" t="str">
            <v>919-718-1717 Ext 20</v>
          </cell>
          <cell r="K474" t="str">
            <v>S1078</v>
          </cell>
          <cell r="L474" t="str">
            <v>S1078FP</v>
          </cell>
          <cell r="M474" t="str">
            <v>Salvation Army of Lee County</v>
          </cell>
        </row>
        <row r="475">
          <cell r="H475" t="str">
            <v>M-F 8 AM-11 AM by appointment only</v>
          </cell>
          <cell r="I475" t="str">
            <v>FOODPANTRY</v>
          </cell>
          <cell r="J475" t="str">
            <v>910-693-1600</v>
          </cell>
          <cell r="K475" t="str">
            <v>S1079</v>
          </cell>
          <cell r="L475" t="str">
            <v>S1079FP</v>
          </cell>
          <cell r="M475" t="str">
            <v>Sandhills Moore Coalition</v>
          </cell>
        </row>
        <row r="476">
          <cell r="H476" t="str">
            <v>2nd Thursday 9am-12pm</v>
          </cell>
          <cell r="I476" t="str">
            <v>FOODPANTRY</v>
          </cell>
          <cell r="J476" t="str">
            <v>910-215-6573</v>
          </cell>
          <cell r="K476" t="str">
            <v>S1082</v>
          </cell>
          <cell r="L476" t="str">
            <v>S1082FP</v>
          </cell>
          <cell r="M476" t="str">
            <v>Sandhills UCC</v>
          </cell>
        </row>
        <row r="477">
          <cell r="H477" t="str">
            <v>Thursdays 10am-12pm</v>
          </cell>
          <cell r="I477" t="str">
            <v>FOODPANTRY</v>
          </cell>
          <cell r="J477" t="str">
            <v>910-281-4898</v>
          </cell>
          <cell r="K477" t="str">
            <v>S1087</v>
          </cell>
          <cell r="L477" t="str">
            <v>S1087FP</v>
          </cell>
          <cell r="M477" t="str">
            <v>Southern Mission Ministries</v>
          </cell>
        </row>
        <row r="478">
          <cell r="H478" t="str">
            <v>every Monday 10-11:30 AM</v>
          </cell>
          <cell r="I478" t="str">
            <v>FOODPANTRY</v>
          </cell>
          <cell r="J478" t="str">
            <v>910-528-0504</v>
          </cell>
          <cell r="K478" t="str">
            <v>S1088</v>
          </cell>
          <cell r="L478" t="str">
            <v>S1088FP</v>
          </cell>
          <cell r="M478" t="str">
            <v>Southern Pines UMC</v>
          </cell>
        </row>
        <row r="479">
          <cell r="H479" t="str">
            <v>Tues and Thurs. 10 AM to 1 PM</v>
          </cell>
          <cell r="I479" t="str">
            <v>FOODPANTRY</v>
          </cell>
          <cell r="J479" t="str">
            <v>910-692-6613</v>
          </cell>
          <cell r="K479" t="str">
            <v>S1090</v>
          </cell>
          <cell r="L479" t="str">
            <v>S1090FP</v>
          </cell>
          <cell r="M479" t="str">
            <v>Saint Anthony's Catholic Church</v>
          </cell>
        </row>
        <row r="480">
          <cell r="H480" t="str">
            <v>2nd and 4th Wed. 9 AM-11 AM</v>
          </cell>
          <cell r="I480" t="str">
            <v>FOODPANTRY</v>
          </cell>
          <cell r="J480" t="str">
            <v>910-280-2424</v>
          </cell>
          <cell r="K480" t="str">
            <v>S1091</v>
          </cell>
          <cell r="L480" t="str">
            <v>S1091FP</v>
          </cell>
          <cell r="M480" t="str">
            <v>Saint John's Emergency Food</v>
          </cell>
        </row>
        <row r="481">
          <cell r="H481" t="str">
            <v>3rd Saturday 8:30-9:30am Wed. 1-3pm</v>
          </cell>
          <cell r="I481" t="str">
            <v>FOODPANTRY</v>
          </cell>
          <cell r="J481" t="str">
            <v>910-276-6821</v>
          </cell>
          <cell r="K481" t="str">
            <v>S1092</v>
          </cell>
          <cell r="L481" t="str">
            <v>S1092FP</v>
          </cell>
          <cell r="M481" t="str">
            <v>Saint Luke United Methodist</v>
          </cell>
        </row>
        <row r="482">
          <cell r="H482" t="str">
            <v>3rd Sat. 9 AM-11:30 AM and Wednesdays 1 PM</v>
          </cell>
          <cell r="I482" t="str">
            <v>FOODPANTRY</v>
          </cell>
          <cell r="J482" t="str">
            <v>910-582-0729</v>
          </cell>
          <cell r="K482" t="str">
            <v>S1093</v>
          </cell>
          <cell r="L482" t="str">
            <v>S1093FP</v>
          </cell>
          <cell r="M482" t="str">
            <v>Saint Paul Lutheran</v>
          </cell>
        </row>
        <row r="483">
          <cell r="H483" t="str">
            <v>Tuesdays and Wednesdays 11:30am - 2pm</v>
          </cell>
          <cell r="I483" t="str">
            <v>FOODPANTRY</v>
          </cell>
          <cell r="J483" t="str">
            <v>910-419-4271</v>
          </cell>
          <cell r="K483" t="str">
            <v>S1095</v>
          </cell>
          <cell r="L483" t="str">
            <v>S1095FP</v>
          </cell>
          <cell r="M483" t="str">
            <v>Tabernacle Full Gospel</v>
          </cell>
        </row>
        <row r="484">
          <cell r="H484" t="str">
            <v>1st &amp; 3rd Tuesday 10am-12pm</v>
          </cell>
          <cell r="I484" t="str">
            <v>FOODPANTRY</v>
          </cell>
          <cell r="J484" t="str">
            <v>910-528-4539</v>
          </cell>
          <cell r="K484" t="str">
            <v>S1096</v>
          </cell>
          <cell r="L484" t="str">
            <v>S1096FP</v>
          </cell>
          <cell r="M484" t="str">
            <v>The Worship Center</v>
          </cell>
        </row>
        <row r="485">
          <cell r="H485" t="str">
            <v>EveryTuesday 6:00pm-8:30pm</v>
          </cell>
          <cell r="I485" t="str">
            <v>FOODPANTRY</v>
          </cell>
          <cell r="K485" t="str">
            <v>S1097</v>
          </cell>
          <cell r="L485" t="str">
            <v>S1097FP</v>
          </cell>
          <cell r="M485" t="str">
            <v>Unionville Missionary Baptist</v>
          </cell>
        </row>
        <row r="486">
          <cell r="H486" t="str">
            <v>Every Other Wednesday 8-10:30 am</v>
          </cell>
          <cell r="I486" t="str">
            <v>FOODPANTRY</v>
          </cell>
          <cell r="J486" t="str">
            <v>910-673-1371</v>
          </cell>
          <cell r="K486" t="str">
            <v>S1101</v>
          </cell>
          <cell r="L486" t="str">
            <v>S1101FP</v>
          </cell>
          <cell r="M486" t="str">
            <v>West End United Methodist</v>
          </cell>
        </row>
        <row r="487">
          <cell r="H487" t="str">
            <v>2nd and 4th Tues. 10:30 AM- 11:30 AM</v>
          </cell>
          <cell r="I487" t="str">
            <v>FOODPANTRY</v>
          </cell>
          <cell r="J487" t="str">
            <v>910-639-4400</v>
          </cell>
          <cell r="K487" t="str">
            <v>S1113</v>
          </cell>
          <cell r="L487" t="str">
            <v>S1113FP</v>
          </cell>
          <cell r="M487" t="str">
            <v>Vass Community Food Pantry</v>
          </cell>
        </row>
        <row r="488">
          <cell r="H488" t="str">
            <v>Monday-Friday 9 am-5 pm</v>
          </cell>
          <cell r="I488" t="str">
            <v>SHELTER</v>
          </cell>
          <cell r="J488" t="str">
            <v>919-776-8487 office</v>
          </cell>
          <cell r="K488" t="str">
            <v>S1115</v>
          </cell>
          <cell r="L488" t="str">
            <v>S1115SH1</v>
          </cell>
          <cell r="M488" t="str">
            <v>Outreach Mission Inc.</v>
          </cell>
        </row>
        <row r="489">
          <cell r="H489" t="str">
            <v>Monday and Wednesdays 10am-2pm</v>
          </cell>
          <cell r="I489" t="str">
            <v>FOODPANTRY</v>
          </cell>
          <cell r="J489" t="str">
            <v>910-819-7801</v>
          </cell>
          <cell r="K489" t="str">
            <v>S1116</v>
          </cell>
          <cell r="L489" t="str">
            <v>S1116FP</v>
          </cell>
          <cell r="M489" t="str">
            <v>Place of Grace</v>
          </cell>
        </row>
        <row r="490">
          <cell r="H490" t="str">
            <v>Mon-Friday 10 am- 3 pm emergency asst. and food distributions</v>
          </cell>
          <cell r="I490" t="str">
            <v>FOODPANTRY</v>
          </cell>
          <cell r="K490" t="str">
            <v>S1120</v>
          </cell>
          <cell r="L490" t="str">
            <v>S1120FP</v>
          </cell>
          <cell r="M490" t="str">
            <v>Gift of Love Food Pantry</v>
          </cell>
        </row>
        <row r="491">
          <cell r="H491" t="str">
            <v>TEFAP 4th Fri 8-10am and 4th Saturday, by appointment</v>
          </cell>
          <cell r="I491" t="str">
            <v>FOODPANTRY</v>
          </cell>
          <cell r="J491" t="str">
            <v>910-317-6064</v>
          </cell>
          <cell r="K491" t="str">
            <v>W1003</v>
          </cell>
          <cell r="L491" t="str">
            <v>W1003FP</v>
          </cell>
          <cell r="M491" t="str">
            <v>Bogue Community Citizens</v>
          </cell>
        </row>
        <row r="492">
          <cell r="H492" t="str">
            <v>Serves adults ages 60 and older 1st Tuesday 10am-12pm / 2nd, 3rd &amp; 4th Friday 10am-12pm</v>
          </cell>
          <cell r="I492" t="str">
            <v>ELDERLY NU</v>
          </cell>
          <cell r="K492" t="str">
            <v>W1004</v>
          </cell>
          <cell r="L492" t="str">
            <v>W1004SOF1</v>
          </cell>
          <cell r="M492" t="str">
            <v>Bread for Life</v>
          </cell>
        </row>
        <row r="493">
          <cell r="H493" t="str">
            <v>Monday, Tuesday, &amp; Thursday 9am-12pm &amp;1-4pm, Wednesdays 1-4pm, Friday 9am-12pm &amp;1-2:30pm</v>
          </cell>
          <cell r="I493" t="str">
            <v>FOODPANTRY</v>
          </cell>
          <cell r="J493" t="str">
            <v>910-754-4766</v>
          </cell>
          <cell r="K493" t="str">
            <v>W1007</v>
          </cell>
          <cell r="L493" t="str">
            <v>W1007FP1</v>
          </cell>
          <cell r="M493" t="str">
            <v>Brunswick Family Assistance</v>
          </cell>
        </row>
        <row r="494">
          <cell r="H494" t="str">
            <v>Monday, Tuesday, Wednesday &amp; Thursday 9am-12pm &amp; 1-4pm &amp; Friday 9am-12pm &amp; 1-2:30pm</v>
          </cell>
          <cell r="I494" t="str">
            <v>FOODPANTRY</v>
          </cell>
          <cell r="J494" t="str">
            <v>910-754-4766</v>
          </cell>
          <cell r="K494" t="str">
            <v>W1007</v>
          </cell>
          <cell r="L494" t="str">
            <v>W1007FP2</v>
          </cell>
          <cell r="M494" t="str">
            <v>Brunswick Family Assistance</v>
          </cell>
        </row>
        <row r="495">
          <cell r="H495" t="str">
            <v xml:space="preserve">1st &amp; 3rd Tuesday 8-11am </v>
          </cell>
          <cell r="I495" t="str">
            <v>FOODPANTRY</v>
          </cell>
          <cell r="J495" t="str">
            <v>910-842-8969</v>
          </cell>
          <cell r="K495" t="str">
            <v>W1008</v>
          </cell>
          <cell r="L495" t="str">
            <v>W1008FP</v>
          </cell>
          <cell r="M495" t="str">
            <v>Brunswick Islands Baptist Church</v>
          </cell>
        </row>
        <row r="496">
          <cell r="H496" t="str">
            <v>Monday, Wednesday &amp; Friday 11am-12pm</v>
          </cell>
          <cell r="I496" t="str">
            <v>FOODPANTRY</v>
          </cell>
          <cell r="J496" t="str">
            <v>910-259-5447</v>
          </cell>
          <cell r="K496" t="str">
            <v>W1010</v>
          </cell>
          <cell r="L496" t="str">
            <v>W1010FP1</v>
          </cell>
          <cell r="M496" t="str">
            <v>Gateway Community Church</v>
          </cell>
        </row>
        <row r="497">
          <cell r="H497" t="str">
            <v>Tuesdays and Fridays 9-11:30am</v>
          </cell>
          <cell r="I497" t="str">
            <v>FOODPANTRY</v>
          </cell>
          <cell r="J497" t="str">
            <v>910-251-8130</v>
          </cell>
          <cell r="K497" t="str">
            <v>W1016</v>
          </cell>
          <cell r="L497" t="str">
            <v>W1016FP</v>
          </cell>
          <cell r="M497" t="str">
            <v>Catholic Charities</v>
          </cell>
        </row>
        <row r="498">
          <cell r="H498" t="str">
            <v>24/7</v>
          </cell>
          <cell r="I498" t="str">
            <v>SHELTER</v>
          </cell>
          <cell r="J498" t="str">
            <v>910-392-6936</v>
          </cell>
          <cell r="K498" t="str">
            <v>W1019</v>
          </cell>
          <cell r="L498" t="str">
            <v>W1019SH</v>
          </cell>
          <cell r="M498" t="str">
            <v>Coastal Horizons- Open House Youth Shelter</v>
          </cell>
        </row>
        <row r="499">
          <cell r="H499" t="str">
            <v>Mondays by appointment, Wednesdays at 11am, &amp; 3rd Friday at 10am (while supplies last)</v>
          </cell>
          <cell r="I499" t="str">
            <v>FOODPANTRY</v>
          </cell>
          <cell r="J499" t="str">
            <v>910-918-4531</v>
          </cell>
          <cell r="K499" t="str">
            <v>W1029</v>
          </cell>
          <cell r="L499" t="str">
            <v>W1029FP</v>
          </cell>
          <cell r="M499" t="str">
            <v>Facts of Life Church</v>
          </cell>
        </row>
        <row r="500">
          <cell r="H500" t="str">
            <v>Saturdays 2-4pm</v>
          </cell>
          <cell r="I500" t="str">
            <v>SOUP KITCH</v>
          </cell>
          <cell r="J500" t="str">
            <v>910-918-4531</v>
          </cell>
          <cell r="K500" t="str">
            <v>W1029</v>
          </cell>
          <cell r="L500" t="str">
            <v>W1029SK</v>
          </cell>
          <cell r="M500" t="str">
            <v>Facts of Life Church</v>
          </cell>
        </row>
        <row r="501">
          <cell r="H501" t="str">
            <v>Thursday 5:30-6:30pm Martha Kitchen's On the Go Fridays 10am-12pm</v>
          </cell>
          <cell r="I501" t="str">
            <v>SOUP KITCH</v>
          </cell>
          <cell r="J501" t="str">
            <v>910-458-5134</v>
          </cell>
          <cell r="K501" t="str">
            <v>W1031</v>
          </cell>
          <cell r="L501" t="str">
            <v>W1031SK</v>
          </cell>
          <cell r="M501" t="str">
            <v>First Baptist Church Carolina Beach</v>
          </cell>
        </row>
        <row r="502">
          <cell r="H502" t="str">
            <v>4th Saturday 9-10am</v>
          </cell>
          <cell r="I502" t="str">
            <v>FOODPANTRY</v>
          </cell>
          <cell r="J502" t="str">
            <v>910-646-3727</v>
          </cell>
          <cell r="K502" t="str">
            <v>W1032</v>
          </cell>
          <cell r="L502" t="str">
            <v>W1032FP</v>
          </cell>
          <cell r="M502" t="str">
            <v>Lake Waccamaw Food Ministry</v>
          </cell>
        </row>
        <row r="503">
          <cell r="H503" t="str">
            <v>1st and 3rd Saturday of month 10am-12pm</v>
          </cell>
          <cell r="I503" t="str">
            <v>FOODPANTRY</v>
          </cell>
          <cell r="J503" t="str">
            <v>910-371-2233</v>
          </cell>
          <cell r="K503" t="str">
            <v>W1033</v>
          </cell>
          <cell r="L503" t="str">
            <v>W1033FP</v>
          </cell>
          <cell r="M503" t="str">
            <v>First Baptist Church of Leland</v>
          </cell>
        </row>
        <row r="504">
          <cell r="H504" t="str">
            <v>Mondays 10am-12pm, Wednesday 10am-12pm &amp; Saturday 10am-1pm</v>
          </cell>
          <cell r="I504" t="str">
            <v>FOODPANTRY</v>
          </cell>
          <cell r="J504" t="str">
            <v>910-612-1653</v>
          </cell>
          <cell r="K504" t="str">
            <v>W1034</v>
          </cell>
          <cell r="L504" t="str">
            <v>W1034FP</v>
          </cell>
          <cell r="M504" t="str">
            <v>First Fruit Ministries</v>
          </cell>
        </row>
        <row r="505">
          <cell r="H505" t="str">
            <v>Shelter 24/7</v>
          </cell>
          <cell r="I505" t="str">
            <v>SHELTER</v>
          </cell>
          <cell r="J505" t="str">
            <v>910-612-1653</v>
          </cell>
          <cell r="K505" t="str">
            <v>W1034</v>
          </cell>
          <cell r="L505" t="str">
            <v>W1034SH</v>
          </cell>
          <cell r="M505" t="str">
            <v>First Fruit Ministries</v>
          </cell>
        </row>
        <row r="506">
          <cell r="H506" t="str">
            <v>Wednesdays 12-1pm</v>
          </cell>
          <cell r="I506" t="str">
            <v>FOODPANTRY</v>
          </cell>
          <cell r="J506" t="str">
            <v>910-362-0292 Ext 101</v>
          </cell>
          <cell r="K506" t="str">
            <v>W1036</v>
          </cell>
          <cell r="L506" t="str">
            <v>W1036FP</v>
          </cell>
          <cell r="M506" t="str">
            <v>Good Shepherd Center</v>
          </cell>
        </row>
        <row r="507">
          <cell r="H507" t="str">
            <v>24/7</v>
          </cell>
          <cell r="I507" t="str">
            <v>SHELTER</v>
          </cell>
          <cell r="J507" t="str">
            <v>910-362-0292 Ext 101</v>
          </cell>
          <cell r="K507" t="str">
            <v>W1036</v>
          </cell>
          <cell r="L507" t="str">
            <v>W1036SH</v>
          </cell>
          <cell r="M507" t="str">
            <v>Good Shepherd Center</v>
          </cell>
        </row>
        <row r="508">
          <cell r="H508" t="str">
            <v>Monday-Friday 11am-12pm</v>
          </cell>
          <cell r="I508" t="str">
            <v>SOUP KITCH</v>
          </cell>
          <cell r="J508" t="str">
            <v>910-362-0292 Ext 101</v>
          </cell>
          <cell r="K508" t="str">
            <v>W1036</v>
          </cell>
          <cell r="L508" t="str">
            <v>W1036SK</v>
          </cell>
          <cell r="M508" t="str">
            <v>Good Shepherd Center</v>
          </cell>
        </row>
        <row r="509">
          <cell r="H509" t="str">
            <v>Every other Thursday (call for schedule)  9-11</v>
          </cell>
          <cell r="I509" t="str">
            <v>FOODPANTRY</v>
          </cell>
          <cell r="J509" t="str">
            <v>910-675-2336</v>
          </cell>
          <cell r="K509" t="str">
            <v>W1039</v>
          </cell>
          <cell r="L509" t="str">
            <v>W1039FP</v>
          </cell>
          <cell r="M509" t="str">
            <v>Helping Hands St Stanislaus Catholic Church</v>
          </cell>
        </row>
        <row r="510">
          <cell r="H510" t="str">
            <v>1st and 3rd Saturday 10am-12pm</v>
          </cell>
          <cell r="I510" t="str">
            <v>FOODPANTRY</v>
          </cell>
          <cell r="J510" t="str">
            <v>828-405-3509</v>
          </cell>
          <cell r="K510" t="str">
            <v>W1040</v>
          </cell>
          <cell r="L510" t="str">
            <v>W1040FP</v>
          </cell>
          <cell r="M510" t="str">
            <v>Hills Chapel Missionary</v>
          </cell>
        </row>
        <row r="511">
          <cell r="H511" t="str">
            <v>Thursdays 11am-1pm</v>
          </cell>
          <cell r="I511" t="str">
            <v>FOODPANTRY</v>
          </cell>
          <cell r="J511" t="str">
            <v>910-392-2899</v>
          </cell>
          <cell r="K511" t="str">
            <v>W1041</v>
          </cell>
          <cell r="L511" t="str">
            <v>W1041FP</v>
          </cell>
          <cell r="M511" t="str">
            <v>House of Mercy</v>
          </cell>
        </row>
        <row r="512">
          <cell r="H512" t="str">
            <v>Wednesdays 8:30am-9:30am</v>
          </cell>
          <cell r="I512" t="str">
            <v>FOODPANTRY</v>
          </cell>
          <cell r="J512" t="str">
            <v>910 612 7041</v>
          </cell>
          <cell r="K512" t="str">
            <v>W1042</v>
          </cell>
          <cell r="L512" t="str">
            <v>W1042FP</v>
          </cell>
          <cell r="M512" t="str">
            <v>Inspirational House of Praise</v>
          </cell>
        </row>
        <row r="513">
          <cell r="H513" t="str">
            <v>Wednesdays 10am-12pm while supplies last</v>
          </cell>
          <cell r="I513" t="str">
            <v>FOODPANTRY</v>
          </cell>
          <cell r="J513" t="str">
            <v>561-202-5275</v>
          </cell>
          <cell r="K513" t="str">
            <v>W1049</v>
          </cell>
          <cell r="L513" t="str">
            <v>W1049FP</v>
          </cell>
          <cell r="M513" t="str">
            <v>Lifesavers Outreach</v>
          </cell>
        </row>
        <row r="514">
          <cell r="H514" t="str">
            <v>First and Second Thursday 2pm-5pm</v>
          </cell>
          <cell r="I514" t="str">
            <v>FOODPANTRY</v>
          </cell>
          <cell r="J514" t="str">
            <v>910-654-4165</v>
          </cell>
          <cell r="K514" t="str">
            <v>W1051</v>
          </cell>
          <cell r="L514" t="str">
            <v>W1051FP</v>
          </cell>
          <cell r="M514" t="str">
            <v>Living Word Church</v>
          </cell>
        </row>
        <row r="515">
          <cell r="H515" t="str">
            <v>Mon -Sun 11am-1pm</v>
          </cell>
          <cell r="I515" t="str">
            <v>FOODPANTRY</v>
          </cell>
          <cell r="J515" t="str">
            <v>910-270-0750</v>
          </cell>
          <cell r="K515" t="str">
            <v>W1052</v>
          </cell>
          <cell r="L515" t="str">
            <v>W1052FP</v>
          </cell>
          <cell r="M515" t="str">
            <v>Livingstones Tabernacle</v>
          </cell>
        </row>
        <row r="516">
          <cell r="H516" t="str">
            <v>Monday, Tuesday, Wednesday &amp; Friday 10:30am-12:30pm &amp; 1st &amp; 3rd Thursday 12-2pm &amp; 2nd &amp; 4th Thursday 5-7pm</v>
          </cell>
          <cell r="I516" t="str">
            <v>FOODPANTRY</v>
          </cell>
          <cell r="J516" t="str">
            <v>910-253-4893</v>
          </cell>
          <cell r="K516" t="str">
            <v>W1053</v>
          </cell>
          <cell r="L516" t="str">
            <v>W1053FP</v>
          </cell>
          <cell r="M516" t="str">
            <v>Love of Christ Ministries</v>
          </cell>
        </row>
        <row r="517">
          <cell r="H517" t="str">
            <v>2nd Tuesday @ 10 (while supplies last) ***TEFAP 3rd Thursday of each month at 1pm</v>
          </cell>
          <cell r="I517" t="str">
            <v>FOODPANTRY</v>
          </cell>
          <cell r="J517" t="str">
            <v>910-655-3811</v>
          </cell>
          <cell r="K517" t="str">
            <v>W1055</v>
          </cell>
          <cell r="L517" t="str">
            <v>W1055FP1</v>
          </cell>
          <cell r="M517" t="str">
            <v>Men and Women United for Youth and Families</v>
          </cell>
        </row>
        <row r="518">
          <cell r="H518" t="str">
            <v xml:space="preserve">Wednesday 12:30-3pm &amp; Saturday 9am-12pm </v>
          </cell>
          <cell r="I518" t="str">
            <v>FOODPANTRY</v>
          </cell>
          <cell r="J518" t="str">
            <v>910-762-2199</v>
          </cell>
          <cell r="K518" t="str">
            <v>W1056</v>
          </cell>
          <cell r="L518" t="str">
            <v>W1056FP</v>
          </cell>
          <cell r="M518" t="str">
            <v>Mother Hubbard's Cupboard</v>
          </cell>
        </row>
        <row r="519">
          <cell r="H519" t="str">
            <v>2nd and 3rd Saturday 10am-12pm</v>
          </cell>
          <cell r="I519" t="str">
            <v>FOODPANTRY</v>
          </cell>
          <cell r="J519" t="str">
            <v>910-620-4738</v>
          </cell>
          <cell r="K519" t="str">
            <v>W1057</v>
          </cell>
          <cell r="L519" t="str">
            <v>W1057FP</v>
          </cell>
          <cell r="M519" t="str">
            <v>Mt Olive AME Church - Helping Hand Food Pantry</v>
          </cell>
        </row>
        <row r="520">
          <cell r="H520" t="str">
            <v>Monday - Thursday 12:30 pm - 3 pm Friday 12:30 pm - 2:30 pm</v>
          </cell>
          <cell r="I520" t="str">
            <v>FOODPANTRY</v>
          </cell>
          <cell r="K520" t="str">
            <v>W1068</v>
          </cell>
          <cell r="L520" t="str">
            <v>W1068FP</v>
          </cell>
          <cell r="M520" t="str">
            <v>Pender County Christian Services</v>
          </cell>
        </row>
        <row r="521">
          <cell r="H521" t="str">
            <v>2nd &amp; 4th Saturdays 8-10am; 3rd Thursdays 8-10am</v>
          </cell>
          <cell r="I521" t="str">
            <v>FOODPANTRY</v>
          </cell>
          <cell r="J521" t="str">
            <v>910-655-3261</v>
          </cell>
          <cell r="K521" t="str">
            <v>W1072</v>
          </cell>
          <cell r="L521" t="str">
            <v>W1072FP</v>
          </cell>
          <cell r="M521" t="str">
            <v>Salvation and Deliverance Family Worship Center</v>
          </cell>
        </row>
        <row r="522">
          <cell r="H522" t="str">
            <v>Tuesdays and Thursdays 9am-12pm</v>
          </cell>
          <cell r="I522" t="str">
            <v>FOODPANTRY</v>
          </cell>
          <cell r="J522" t="str">
            <v>910-762-7354</v>
          </cell>
          <cell r="K522" t="str">
            <v>W1073</v>
          </cell>
          <cell r="L522" t="str">
            <v>W1073FP</v>
          </cell>
          <cell r="M522" t="str">
            <v>Salvation Army - Wilmington</v>
          </cell>
        </row>
        <row r="523">
          <cell r="H523" t="str">
            <v>Shelter 24/7</v>
          </cell>
          <cell r="I523" t="str">
            <v>SHELTER</v>
          </cell>
          <cell r="J523" t="str">
            <v>910-762-7354</v>
          </cell>
          <cell r="K523" t="str">
            <v>W1073</v>
          </cell>
          <cell r="L523" t="str">
            <v>W1073SH</v>
          </cell>
          <cell r="M523" t="str">
            <v>Salvation Army - Wilmington</v>
          </cell>
        </row>
        <row r="524">
          <cell r="H524" t="str">
            <v>Tues. &amp; Wed. 10am-11:30am &amp; 1pm-2:30pm; Thurs. 10am-11:30am &amp; 2pm-6:30pm; Sun. 4:30pm-6pm</v>
          </cell>
          <cell r="I524" t="str">
            <v>FOODPANTRY</v>
          </cell>
          <cell r="J524" t="str">
            <v>910 803 0411</v>
          </cell>
          <cell r="K524" t="str">
            <v>W1079</v>
          </cell>
          <cell r="L524" t="str">
            <v>W1079FP</v>
          </cell>
          <cell r="M524" t="str">
            <v>Share the Table Inc</v>
          </cell>
        </row>
        <row r="525">
          <cell r="H525" t="str">
            <v>Sundays 4-6pm</v>
          </cell>
          <cell r="I525" t="str">
            <v>SOUP KITCH</v>
          </cell>
          <cell r="J525" t="str">
            <v>910 803 0411</v>
          </cell>
          <cell r="K525" t="str">
            <v>W1079</v>
          </cell>
          <cell r="L525" t="str">
            <v>W1079SK</v>
          </cell>
          <cell r="M525" t="str">
            <v>Share the Table Inc</v>
          </cell>
        </row>
        <row r="526">
          <cell r="H526" t="str">
            <v>Mondays 3-5pm (closed federal holidays)</v>
          </cell>
          <cell r="I526" t="str">
            <v>FOODPANTRY</v>
          </cell>
          <cell r="J526" t="str">
            <v>910-457-1909</v>
          </cell>
          <cell r="K526" t="str">
            <v>W1080</v>
          </cell>
          <cell r="L526" t="str">
            <v>W1080FP</v>
          </cell>
          <cell r="M526" t="str">
            <v>Shoreline Baptist Church</v>
          </cell>
        </row>
        <row r="527">
          <cell r="H527" t="str">
            <v>2nd and 4th Monday 2-4pm</v>
          </cell>
          <cell r="I527" t="str">
            <v>FOODPANTRY</v>
          </cell>
          <cell r="J527" t="str">
            <v>910-880-9889</v>
          </cell>
          <cell r="K527" t="str">
            <v>W1081</v>
          </cell>
          <cell r="L527" t="str">
            <v>W1081FP</v>
          </cell>
          <cell r="M527" t="str">
            <v>Sonrise Independent Baptist</v>
          </cell>
        </row>
        <row r="528">
          <cell r="H528" t="str">
            <v>Saturdays 10a.m.-12p.m.</v>
          </cell>
          <cell r="I528" t="str">
            <v>FOODPANTRY</v>
          </cell>
          <cell r="J528" t="str">
            <v>910-579-4684</v>
          </cell>
          <cell r="K528" t="str">
            <v>W1082</v>
          </cell>
          <cell r="L528" t="str">
            <v>W1082FP</v>
          </cell>
          <cell r="M528" t="str">
            <v>South Brunswick Inter-Church</v>
          </cell>
        </row>
        <row r="529">
          <cell r="H529" t="str">
            <v>Tues 9-11:30, Thurs 5-7 &amp; Sat 9-11:30</v>
          </cell>
          <cell r="I529" t="str">
            <v>FOODPANTRY</v>
          </cell>
          <cell r="J529" t="str">
            <v>910-845-2320</v>
          </cell>
          <cell r="K529" t="str">
            <v>W1083</v>
          </cell>
          <cell r="L529" t="str">
            <v>W1083FP</v>
          </cell>
          <cell r="M529" t="str">
            <v>Southport Oak Island InterChur</v>
          </cell>
        </row>
        <row r="530">
          <cell r="H530" t="str">
            <v>Wednesdays 10am-12pm</v>
          </cell>
          <cell r="I530" t="str">
            <v>FOODPANTRY</v>
          </cell>
          <cell r="J530" t="str">
            <v>910-754-8544</v>
          </cell>
          <cell r="K530" t="str">
            <v>W1084</v>
          </cell>
          <cell r="L530" t="str">
            <v>W1084FP</v>
          </cell>
          <cell r="M530" t="str">
            <v>Saint Brendans Church</v>
          </cell>
        </row>
        <row r="531">
          <cell r="H531" t="str">
            <v>Thursdays 12-4pm</v>
          </cell>
          <cell r="I531" t="str">
            <v>FOODPANTRY</v>
          </cell>
          <cell r="J531" t="str">
            <v>910-259-2601</v>
          </cell>
          <cell r="K531" t="str">
            <v>W1085</v>
          </cell>
          <cell r="L531" t="str">
            <v>W1085FP</v>
          </cell>
          <cell r="M531" t="str">
            <v>Saint Joseph Parish Outreach</v>
          </cell>
        </row>
        <row r="532">
          <cell r="H532" t="str">
            <v>1st &amp; 3rd Tuesdays 8:30-11am</v>
          </cell>
          <cell r="I532" t="str">
            <v>FOODPANTRY</v>
          </cell>
          <cell r="J532" t="str">
            <v>910-762-5833</v>
          </cell>
          <cell r="K532" t="str">
            <v>W1086</v>
          </cell>
          <cell r="L532" t="str">
            <v>W1086FP</v>
          </cell>
          <cell r="M532" t="str">
            <v>Saint Jude's Metropolitan</v>
          </cell>
        </row>
        <row r="533">
          <cell r="H533" t="str">
            <v>First and 3rd Saturday 11am-1pm</v>
          </cell>
          <cell r="I533" t="str">
            <v>FOODPANTRY</v>
          </cell>
          <cell r="J533" t="str">
            <v>910-253-7622</v>
          </cell>
          <cell r="K533" t="str">
            <v>W1087</v>
          </cell>
          <cell r="L533" t="str">
            <v>W1087FP</v>
          </cell>
          <cell r="M533" t="str">
            <v>Saint Mary Missionary Baptist</v>
          </cell>
        </row>
        <row r="534">
          <cell r="H534" t="str">
            <v>Thursdays 12pm - 2pm</v>
          </cell>
          <cell r="I534" t="str">
            <v>FOODPANTRY</v>
          </cell>
          <cell r="J534" t="str">
            <v>910-622-7684</v>
          </cell>
          <cell r="K534" t="str">
            <v>W1088</v>
          </cell>
          <cell r="L534" t="str">
            <v>W1088FP</v>
          </cell>
          <cell r="M534" t="str">
            <v>Saint Paul AME Zion Church</v>
          </cell>
        </row>
        <row r="535">
          <cell r="H535" t="str">
            <v>Wednesdays 9am-12pm</v>
          </cell>
          <cell r="I535" t="str">
            <v>FOODPANTRY</v>
          </cell>
          <cell r="J535" t="str">
            <v>910-763-6222</v>
          </cell>
          <cell r="K535" t="str">
            <v>W1089</v>
          </cell>
          <cell r="L535" t="str">
            <v>W1089FP</v>
          </cell>
          <cell r="M535" t="str">
            <v>CEC of Saint Peter the Fisherman</v>
          </cell>
        </row>
        <row r="536">
          <cell r="H536" t="str">
            <v>Tuesdays 10-11am</v>
          </cell>
          <cell r="I536" t="str">
            <v>SOUP KITCH</v>
          </cell>
          <cell r="J536" t="str">
            <v>910-763-6222</v>
          </cell>
          <cell r="K536" t="str">
            <v>W1089</v>
          </cell>
          <cell r="L536" t="str">
            <v>W1089SK</v>
          </cell>
          <cell r="M536" t="str">
            <v>CEC of Saint Peter the Fisherman Inc</v>
          </cell>
        </row>
        <row r="537">
          <cell r="H537" t="str">
            <v>Monday-Friday 10am-12pm</v>
          </cell>
          <cell r="I537" t="str">
            <v>FOODPANTRY</v>
          </cell>
          <cell r="J537" t="str">
            <v>910-458-2777</v>
          </cell>
          <cell r="K537" t="str">
            <v>W1093</v>
          </cell>
          <cell r="L537" t="str">
            <v>W1093FP</v>
          </cell>
          <cell r="M537" t="str">
            <v>The Help Center of Federal</v>
          </cell>
        </row>
        <row r="538">
          <cell r="H538" t="str">
            <v xml:space="preserve">Monday-Thursday 9-11am (closed month of August) </v>
          </cell>
          <cell r="I538" t="str">
            <v>FOODPANTRY</v>
          </cell>
          <cell r="J538" t="str">
            <v>910-762-5491 ext. 135</v>
          </cell>
          <cell r="K538" t="str">
            <v>W1097</v>
          </cell>
          <cell r="L538" t="str">
            <v>W1097FP</v>
          </cell>
          <cell r="M538" t="str">
            <v>The Sister Isaac Center</v>
          </cell>
        </row>
        <row r="539">
          <cell r="H539" t="str">
            <v>Thursdays 8-10am</v>
          </cell>
          <cell r="I539" t="str">
            <v>FOODPANTRY</v>
          </cell>
          <cell r="J539" t="str">
            <v>910-443-7111</v>
          </cell>
          <cell r="K539" t="str">
            <v>W1098</v>
          </cell>
          <cell r="L539" t="str">
            <v>W1098FP</v>
          </cell>
          <cell r="M539" t="str">
            <v>Towncreek Vision Corporation</v>
          </cell>
        </row>
        <row r="540">
          <cell r="H540" t="str">
            <v>2nd &amp; 4th Tuesday 11am-12pm</v>
          </cell>
          <cell r="I540" t="str">
            <v>FOODPANTRY</v>
          </cell>
          <cell r="J540" t="str">
            <v>910 754 4018</v>
          </cell>
          <cell r="K540" t="str">
            <v>W1100</v>
          </cell>
          <cell r="L540" t="str">
            <v>W1100FP</v>
          </cell>
          <cell r="M540" t="str">
            <v>Trinity Missionary Baptist</v>
          </cell>
        </row>
        <row r="541">
          <cell r="H541" t="str">
            <v>2nd &amp; 3rd Fri 4-6</v>
          </cell>
          <cell r="I541" t="str">
            <v>FOODPANTRY</v>
          </cell>
          <cell r="J541" t="str">
            <v>910-763-3006</v>
          </cell>
          <cell r="K541" t="str">
            <v>W1103</v>
          </cell>
          <cell r="L541" t="str">
            <v>W1103FP1</v>
          </cell>
          <cell r="M541" t="str">
            <v>Union Missionary Baptist</v>
          </cell>
        </row>
        <row r="542">
          <cell r="H542" t="str">
            <v>Tuesdays at 1pm</v>
          </cell>
          <cell r="I542" t="str">
            <v>FOODPANTRY</v>
          </cell>
          <cell r="J542" t="str">
            <v>910-393-7728</v>
          </cell>
          <cell r="K542" t="str">
            <v>W1104</v>
          </cell>
          <cell r="L542" t="str">
            <v>W1104FP</v>
          </cell>
          <cell r="M542" t="str">
            <v>Victory Independent</v>
          </cell>
        </row>
        <row r="543">
          <cell r="H543" t="str">
            <v>Wednesdays 8:30-10am &amp; Thursdays 3:15-4:30pm</v>
          </cell>
          <cell r="I543" t="str">
            <v>FOODPANTRY</v>
          </cell>
          <cell r="J543" t="str">
            <v>910-762-2583</v>
          </cell>
          <cell r="K543" t="str">
            <v>W1113</v>
          </cell>
          <cell r="L543" t="str">
            <v>W1113FP</v>
          </cell>
          <cell r="M543" t="str">
            <v>Wrightsboro United Methodist</v>
          </cell>
        </row>
        <row r="544">
          <cell r="H544" t="str">
            <v>Mondays, Wednesdays, Thursdays 9am-noon &amp; Saturdays 11am-1pm</v>
          </cell>
          <cell r="I544" t="str">
            <v>FOODPANTRY</v>
          </cell>
          <cell r="J544" t="str">
            <v>910-270-0930</v>
          </cell>
          <cell r="K544" t="str">
            <v>W1131</v>
          </cell>
          <cell r="L544" t="str">
            <v>W1131FP</v>
          </cell>
          <cell r="M544" t="str">
            <v>Christian Community Caring Center</v>
          </cell>
        </row>
        <row r="545">
          <cell r="H545" t="str">
            <v>4th Thursday 4-7pm; Saturday after 2nd Thursday 10am-2pm</v>
          </cell>
          <cell r="I545" t="str">
            <v>FOODPANTRY</v>
          </cell>
          <cell r="J545" t="str">
            <v>910-616-1381</v>
          </cell>
          <cell r="K545" t="str">
            <v>W1133</v>
          </cell>
          <cell r="L545" t="str">
            <v>W1133FP</v>
          </cell>
          <cell r="M545" t="str">
            <v>Cornerstone Baptist Church</v>
          </cell>
        </row>
        <row r="546">
          <cell r="H546" t="str">
            <v>Thursdays 4-6pm &amp; Sundays 10:15-11am</v>
          </cell>
          <cell r="I546" t="str">
            <v>FOODPANTRY</v>
          </cell>
          <cell r="J546" t="str">
            <v>910-262-5233</v>
          </cell>
          <cell r="K546" t="str">
            <v>W1135</v>
          </cell>
          <cell r="L546" t="str">
            <v>W1135FP</v>
          </cell>
          <cell r="M546" t="str">
            <v>Lighthouse Shining Ministries</v>
          </cell>
        </row>
        <row r="547">
          <cell r="H547" t="str">
            <v>1st, 2nd, 4th, 5th Friday at 4pm til supplies last</v>
          </cell>
          <cell r="I547" t="str">
            <v>FOODPANTRY</v>
          </cell>
          <cell r="J547" t="str">
            <v>910-512-6816</v>
          </cell>
          <cell r="K547" t="str">
            <v>W1136</v>
          </cell>
          <cell r="L547" t="str">
            <v>W1136FP</v>
          </cell>
          <cell r="M547" t="str">
            <v>Iglesia Vision 3D</v>
          </cell>
        </row>
        <row r="548">
          <cell r="H548" t="str">
            <v>1st &amp; 3rd Mondays 6-7pm</v>
          </cell>
          <cell r="I548" t="str">
            <v>FOODPANTRY</v>
          </cell>
          <cell r="K548" t="str">
            <v>W1137</v>
          </cell>
          <cell r="L548" t="str">
            <v>W1137FP</v>
          </cell>
          <cell r="M548" t="str">
            <v>Miracle on Meares Agency</v>
          </cell>
        </row>
        <row r="549">
          <cell r="H549" t="str">
            <v xml:space="preserve">Wednesdays 11am-1pm </v>
          </cell>
          <cell r="I549" t="str">
            <v>FOODPANTRY</v>
          </cell>
          <cell r="J549" t="str">
            <v>910-762-7876</v>
          </cell>
          <cell r="K549" t="str">
            <v>W1138</v>
          </cell>
          <cell r="L549" t="str">
            <v>W1138FP</v>
          </cell>
          <cell r="M549" t="str">
            <v>Saint Luke AME Zion Church</v>
          </cell>
        </row>
        <row r="550">
          <cell r="H550" t="str">
            <v>Every other Saturday from 2-4pm</v>
          </cell>
          <cell r="I550" t="str">
            <v>FOODPANTRY</v>
          </cell>
          <cell r="J550" t="str">
            <v>910-712-2241</v>
          </cell>
          <cell r="K550" t="str">
            <v>W1143</v>
          </cell>
          <cell r="L550" t="str">
            <v>W1143FP</v>
          </cell>
          <cell r="M550" t="str">
            <v>Beach Christian Recovery</v>
          </cell>
        </row>
        <row r="551">
          <cell r="H551" t="str">
            <v>1st and 3rd Mondays 1-4pm</v>
          </cell>
          <cell r="I551" t="str">
            <v>FOODPANTRY</v>
          </cell>
          <cell r="J551" t="str">
            <v>910-686-0176</v>
          </cell>
          <cell r="K551" t="str">
            <v>W1147</v>
          </cell>
          <cell r="L551" t="str">
            <v>W1147FP</v>
          </cell>
          <cell r="M551" t="str">
            <v>Liberty Baptist Church of Wilmington</v>
          </cell>
        </row>
        <row r="552">
          <cell r="H552" t="str">
            <v>2nd and 4th Mondays 4-5pm while supplies last</v>
          </cell>
          <cell r="I552" t="str">
            <v>DIRECT DST</v>
          </cell>
          <cell r="K552" t="str">
            <v>W1160</v>
          </cell>
          <cell r="L552" t="str">
            <v>W1160DD</v>
          </cell>
          <cell r="M552" t="str">
            <v>The Healing Place of New Hanover County, Inc.</v>
          </cell>
        </row>
        <row r="553">
          <cell r="H553" t="str">
            <v>24/7</v>
          </cell>
          <cell r="I553" t="str">
            <v>SHELTER</v>
          </cell>
          <cell r="J553" t="str">
            <v>910-970-4673</v>
          </cell>
          <cell r="K553" t="str">
            <v>W1160</v>
          </cell>
          <cell r="L553" t="str">
            <v>W1160SH</v>
          </cell>
          <cell r="M553" t="str">
            <v>The Healing Place of New Hanover County, Inc.</v>
          </cell>
        </row>
        <row r="554">
          <cell r="H554" t="str">
            <v>Sundays 1pm - 3pm</v>
          </cell>
          <cell r="I554" t="str">
            <v>FOODPANTRY</v>
          </cell>
          <cell r="K554" t="str">
            <v>W1167</v>
          </cell>
          <cell r="L554" t="str">
            <v>W1167FP</v>
          </cell>
          <cell r="M554" t="str">
            <v>Ministerio Esperanza De Vida</v>
          </cell>
        </row>
        <row r="555">
          <cell r="H555" t="str">
            <v>Tuesdays 10am-12pm</v>
          </cell>
          <cell r="I555" t="str">
            <v>FOODPANTRY</v>
          </cell>
          <cell r="J555" t="str">
            <v>910-232-6587</v>
          </cell>
          <cell r="K555" t="str">
            <v>W1168</v>
          </cell>
          <cell r="L555" t="str">
            <v>W1168FP</v>
          </cell>
          <cell r="M555" t="str">
            <v>Shiloh Missionary Baptist Church</v>
          </cell>
        </row>
        <row r="556">
          <cell r="H556" t="str">
            <v>2nd Saturday 10am-12pm &amp; 4th Thursday 4-6pm</v>
          </cell>
          <cell r="I556" t="str">
            <v>FOODPANTRY</v>
          </cell>
          <cell r="J556" t="str">
            <v>910-620-2720</v>
          </cell>
          <cell r="K556" t="str">
            <v>W1169</v>
          </cell>
          <cell r="L556" t="str">
            <v>W1169FP</v>
          </cell>
          <cell r="M556" t="str">
            <v>Mt Calvary AME Church</v>
          </cell>
        </row>
        <row r="557">
          <cell r="H557" t="str">
            <v>Monday 10am-1pm; Tuesday 1pm-4pm; Thursday 10am-1pm; Friday 1pm-4pm; 2nd &amp; 4th Saturday 10am-1pm</v>
          </cell>
          <cell r="I557" t="str">
            <v>FOODPANTRY</v>
          </cell>
          <cell r="J557" t="str">
            <v>910-251-1465</v>
          </cell>
          <cell r="K557" t="str">
            <v>W1170</v>
          </cell>
          <cell r="L557" t="str">
            <v>W1170FP</v>
          </cell>
          <cell r="M557" t="str">
            <v>Market on Greenfield</v>
          </cell>
        </row>
        <row r="558">
          <cell r="H558" t="str">
            <v>4th Thursday at 12pm (while supplies last)</v>
          </cell>
          <cell r="I558" t="str">
            <v>FOODPANTRY</v>
          </cell>
          <cell r="J558" t="str">
            <v>910-754-5188</v>
          </cell>
          <cell r="K558" t="str">
            <v>W1171</v>
          </cell>
          <cell r="L558" t="str">
            <v>W1171FP</v>
          </cell>
          <cell r="M558" t="str">
            <v>Royal Oak Community Food Asssistance Distribution</v>
          </cell>
        </row>
        <row r="559">
          <cell r="H559" t="str">
            <v xml:space="preserve">2nd Thursday at 12pm (while supplies last) </v>
          </cell>
          <cell r="I559" t="str">
            <v>FOODPANTRY</v>
          </cell>
          <cell r="J559" t="str">
            <v>910-754-5188</v>
          </cell>
          <cell r="K559" t="str">
            <v>W1171</v>
          </cell>
          <cell r="L559" t="str">
            <v>W1171FP1</v>
          </cell>
          <cell r="M559" t="str">
            <v>Royal Oak Concerned Citizens Association</v>
          </cell>
        </row>
        <row r="560">
          <cell r="H560" t="str">
            <v>2nd Tuesday &amp; 4th Thursday 3:30-5:30pm</v>
          </cell>
          <cell r="I560" t="str">
            <v>FOODPANTRY</v>
          </cell>
          <cell r="J560" t="str">
            <v>910-853-2253</v>
          </cell>
          <cell r="K560" t="str">
            <v>W1172</v>
          </cell>
          <cell r="L560" t="str">
            <v>W1172FP</v>
          </cell>
          <cell r="M560" t="str">
            <v>Saint James AME Church</v>
          </cell>
        </row>
        <row r="561">
          <cell r="H561" t="str">
            <v>Second and Fourth Wednesday 12-2pm</v>
          </cell>
          <cell r="I561" t="str">
            <v>FOODPANTRY</v>
          </cell>
          <cell r="J561" t="str">
            <v>910-470-9527</v>
          </cell>
          <cell r="K561" t="str">
            <v>W1176</v>
          </cell>
          <cell r="L561" t="str">
            <v>W1176FP</v>
          </cell>
          <cell r="M561" t="str">
            <v>Lakes Chapel Missionary Baptist Church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1"/>
  <sheetViews>
    <sheetView tabSelected="1" topLeftCell="C1" workbookViewId="0">
      <selection activeCell="F3" sqref="F3"/>
    </sheetView>
  </sheetViews>
  <sheetFormatPr baseColWidth="10" defaultColWidth="8.83203125" defaultRowHeight="15" x14ac:dyDescent="0.2"/>
  <cols>
    <col min="2" max="2" width="142.83203125" bestFit="1" customWidth="1"/>
    <col min="4" max="4" width="13.83203125" bestFit="1" customWidth="1"/>
    <col min="5" max="5" width="10.6640625" bestFit="1" customWidth="1"/>
    <col min="6" max="6" width="43.1640625" bestFit="1" customWidth="1"/>
  </cols>
  <sheetData>
    <row r="1" spans="1:6" x14ac:dyDescent="0.2">
      <c r="B1" s="1" t="s">
        <v>0</v>
      </c>
      <c r="C1" s="1" t="s">
        <v>1</v>
      </c>
      <c r="D1" t="s">
        <v>978</v>
      </c>
      <c r="E1" t="s">
        <v>979</v>
      </c>
      <c r="F1" t="s">
        <v>980</v>
      </c>
    </row>
    <row r="2" spans="1:6" x14ac:dyDescent="0.2">
      <c r="A2" s="1">
        <v>0</v>
      </c>
      <c r="B2" t="s">
        <v>2</v>
      </c>
      <c r="C2" t="s">
        <v>3</v>
      </c>
      <c r="D2" t="str">
        <f>VLOOKUP(B2,[1]FBCENC_PartnerAgencies_100725_r!$H$2:$K$561,4,0)</f>
        <v>D1001</v>
      </c>
      <c r="E2" t="str">
        <f>VLOOKUP(B2,[1]FBCENC_PartnerAgencies_100725_r!$H$2:$L$561,5,0)</f>
        <v>D1001FP</v>
      </c>
      <c r="F2" t="str">
        <f>VLOOKUP(B2,[1]FBCENC_PartnerAgencies_100725_r!$H$2:$M$561,6,0)</f>
        <v>ACTS of Vance County</v>
      </c>
    </row>
    <row r="3" spans="1:6" x14ac:dyDescent="0.2">
      <c r="A3" s="1">
        <v>1</v>
      </c>
      <c r="B3" t="s">
        <v>4</v>
      </c>
      <c r="C3" t="s">
        <v>5</v>
      </c>
      <c r="D3" t="str">
        <f>VLOOKUP(B3,[1]FBCENC_PartnerAgencies_100725_r!$H$2:$K$561,4,0)</f>
        <v>D1001</v>
      </c>
      <c r="E3" t="str">
        <f>VLOOKUP(B3,[1]FBCENC_PartnerAgencies_100725_r!$H$2:$L$561,5,0)</f>
        <v>D1001SK</v>
      </c>
      <c r="F3" t="str">
        <f>VLOOKUP(B3,[1]FBCENC_PartnerAgencies_100725_r!$H$2:$M$561,6,0)</f>
        <v>ACTS of Vance County</v>
      </c>
    </row>
    <row r="4" spans="1:6" x14ac:dyDescent="0.2">
      <c r="A4" s="1">
        <v>2</v>
      </c>
      <c r="B4" t="s">
        <v>6</v>
      </c>
      <c r="C4" t="s">
        <v>7</v>
      </c>
      <c r="D4" t="str">
        <f>VLOOKUP(B4,[1]FBCENC_PartnerAgencies_100725_r!$H$2:$K$561,4,0)</f>
        <v>D1005</v>
      </c>
      <c r="E4" t="str">
        <f>VLOOKUP(B4,[1]FBCENC_PartnerAgencies_100725_r!$H$2:$L$561,5,0)</f>
        <v>D1005FP</v>
      </c>
      <c r="F4" t="str">
        <f>VLOOKUP(B4,[1]FBCENC_PartnerAgencies_100725_r!$H$2:$M$561,6,0)</f>
        <v>Alston Chapel United Holy</v>
      </c>
    </row>
    <row r="5" spans="1:6" x14ac:dyDescent="0.2">
      <c r="A5" s="1">
        <v>3</v>
      </c>
      <c r="B5" t="s">
        <v>8</v>
      </c>
      <c r="C5" t="s">
        <v>9</v>
      </c>
      <c r="D5" t="str">
        <f>VLOOKUP(B5,[1]FBCENC_PartnerAgencies_100725_r!$H$2:$K$561,4,0)</f>
        <v>D1006</v>
      </c>
      <c r="E5" t="str">
        <f>VLOOKUP(B5,[1]FBCENC_PartnerAgencies_100725_r!$H$2:$L$561,5,0)</f>
        <v>D1006FP</v>
      </c>
      <c r="F5" t="str">
        <f>VLOOKUP(B5,[1]FBCENC_PartnerAgencies_100725_r!$H$2:$M$561,6,0)</f>
        <v>Anathoth House</v>
      </c>
    </row>
    <row r="6" spans="1:6" x14ac:dyDescent="0.2">
      <c r="A6" s="1">
        <v>4</v>
      </c>
      <c r="B6" t="s">
        <v>10</v>
      </c>
      <c r="C6" t="s">
        <v>11</v>
      </c>
      <c r="D6" t="str">
        <f>VLOOKUP(B6,[1]FBCENC_PartnerAgencies_100725_r!$H$2:$K$561,4,0)</f>
        <v>D1008</v>
      </c>
      <c r="E6" t="str">
        <f>VLOOKUP(B6,[1]FBCENC_PartnerAgencies_100725_r!$H$2:$L$561,5,0)</f>
        <v>D1008FP</v>
      </c>
      <c r="F6" t="str">
        <f>VLOOKUP(B6,[1]FBCENC_PartnerAgencies_100725_r!$H$2:$M$561,6,0)</f>
        <v>Area Congregations in Ministry</v>
      </c>
    </row>
    <row r="7" spans="1:6" x14ac:dyDescent="0.2">
      <c r="A7" s="1">
        <v>5</v>
      </c>
      <c r="B7" t="s">
        <v>12</v>
      </c>
      <c r="C7" t="s">
        <v>5</v>
      </c>
      <c r="D7" t="str">
        <f>VLOOKUP(B7,[1]FBCENC_PartnerAgencies_100725_r!$H$2:$K$561,4,0)</f>
        <v>D1009</v>
      </c>
      <c r="E7" t="str">
        <f>VLOOKUP(B7,[1]FBCENC_PartnerAgencies_100725_r!$H$2:$L$561,5,0)</f>
        <v>D1009FP</v>
      </c>
      <c r="F7" t="str">
        <f>VLOOKUP(B7,[1]FBCENC_PartnerAgencies_100725_r!$H$2:$M$561,6,0)</f>
        <v>Believers United for Progress</v>
      </c>
    </row>
    <row r="8" spans="1:6" x14ac:dyDescent="0.2">
      <c r="A8" s="1">
        <v>6</v>
      </c>
      <c r="B8" t="s">
        <v>13</v>
      </c>
      <c r="C8" t="s">
        <v>5</v>
      </c>
      <c r="D8" t="str">
        <f>VLOOKUP(B8,[1]FBCENC_PartnerAgencies_100725_r!$H$2:$K$561,4,0)</f>
        <v>D1010</v>
      </c>
      <c r="E8" t="str">
        <f>VLOOKUP(B8,[1]FBCENC_PartnerAgencies_100725_r!$H$2:$L$561,5,0)</f>
        <v>D1010FP</v>
      </c>
      <c r="F8" t="str">
        <f>VLOOKUP(B8,[1]FBCENC_PartnerAgencies_100725_r!$H$2:$M$561,6,0)</f>
        <v>Bell-Yeager</v>
      </c>
    </row>
    <row r="9" spans="1:6" x14ac:dyDescent="0.2">
      <c r="A9" s="1">
        <v>7</v>
      </c>
      <c r="B9" t="s">
        <v>14</v>
      </c>
      <c r="C9" t="s">
        <v>15</v>
      </c>
      <c r="D9" t="str">
        <f>VLOOKUP(B9,[1]FBCENC_PartnerAgencies_100725_r!$H$2:$K$561,4,0)</f>
        <v>D1011</v>
      </c>
      <c r="E9" t="str">
        <f>VLOOKUP(B9,[1]FBCENC_PartnerAgencies_100725_r!$H$2:$L$561,5,0)</f>
        <v>D1011FP</v>
      </c>
      <c r="F9" t="str">
        <f>VLOOKUP(B9,[1]FBCENC_PartnerAgencies_100725_r!$H$2:$M$561,6,0)</f>
        <v>Belton Creek Baptist Church</v>
      </c>
    </row>
    <row r="10" spans="1:6" x14ac:dyDescent="0.2">
      <c r="A10" s="1">
        <v>8</v>
      </c>
      <c r="B10" t="s">
        <v>16</v>
      </c>
      <c r="C10" t="s">
        <v>17</v>
      </c>
      <c r="D10" t="str">
        <f>VLOOKUP(B10,[1]FBCENC_PartnerAgencies_100725_r!$H$2:$K$561,4,0)</f>
        <v>D1013</v>
      </c>
      <c r="E10" t="str">
        <f>VLOOKUP(B10,[1]FBCENC_PartnerAgencies_100725_r!$H$2:$L$561,5,0)</f>
        <v>D1013FP</v>
      </c>
      <c r="F10" t="str">
        <f>VLOOKUP(B10,[1]FBCENC_PartnerAgencies_100725_r!$H$2:$M$561,6,0)</f>
        <v>Birchwood Learning Center</v>
      </c>
    </row>
    <row r="11" spans="1:6" x14ac:dyDescent="0.2">
      <c r="A11" s="1">
        <v>9</v>
      </c>
      <c r="B11" t="s">
        <v>18</v>
      </c>
      <c r="C11" t="s">
        <v>19</v>
      </c>
      <c r="D11" t="str">
        <f>VLOOKUP(B11,[1]FBCENC_PartnerAgencies_100725_r!$H$2:$K$561,4,0)</f>
        <v>D1015</v>
      </c>
      <c r="E11" t="str">
        <f>VLOOKUP(B11,[1]FBCENC_PartnerAgencies_100725_r!$H$2:$L$561,5,0)</f>
        <v>D1015FP</v>
      </c>
      <c r="F11" t="str">
        <f>VLOOKUP(B11,[1]FBCENC_PartnerAgencies_100725_r!$H$2:$M$561,6,0)</f>
        <v>Brookston Baptist Church</v>
      </c>
    </row>
    <row r="12" spans="1:6" x14ac:dyDescent="0.2">
      <c r="A12" s="1">
        <v>10</v>
      </c>
      <c r="B12" t="s">
        <v>20</v>
      </c>
      <c r="C12" t="s">
        <v>21</v>
      </c>
      <c r="D12" t="str">
        <f>VLOOKUP(B12,[1]FBCENC_PartnerAgencies_100725_r!$H$2:$K$561,4,0)</f>
        <v>D1018</v>
      </c>
      <c r="E12" t="str">
        <f>VLOOKUP(B12,[1]FBCENC_PartnerAgencies_100725_r!$H$2:$L$561,5,0)</f>
        <v>D1018FP</v>
      </c>
      <c r="F12" t="str">
        <f>VLOOKUP(B12,[1]FBCENC_PartnerAgencies_100725_r!$H$2:$M$561,6,0)</f>
        <v>Catholic Charities - Durham Community Food Pantry</v>
      </c>
    </row>
    <row r="13" spans="1:6" x14ac:dyDescent="0.2">
      <c r="A13" s="1">
        <v>11</v>
      </c>
      <c r="B13" t="s">
        <v>22</v>
      </c>
      <c r="C13" t="s">
        <v>23</v>
      </c>
      <c r="D13" t="str">
        <f>VLOOKUP(B13,[1]FBCENC_PartnerAgencies_100725_r!$H$2:$K$561,4,0)</f>
        <v>D1019</v>
      </c>
      <c r="E13" t="str">
        <f>VLOOKUP(B13,[1]FBCENC_PartnerAgencies_100725_r!$H$2:$L$561,5,0)</f>
        <v>D1019FP</v>
      </c>
      <c r="F13" t="str">
        <f>VLOOKUP(B13,[1]FBCENC_PartnerAgencies_100725_r!$H$2:$M$561,6,0)</f>
        <v>Cedar Grove Mt Zion AME Church</v>
      </c>
    </row>
    <row r="14" spans="1:6" x14ac:dyDescent="0.2">
      <c r="A14" s="1">
        <v>12</v>
      </c>
      <c r="B14" t="s">
        <v>24</v>
      </c>
      <c r="C14" t="s">
        <v>25</v>
      </c>
      <c r="D14" t="str">
        <f>VLOOKUP(B14,[1]FBCENC_PartnerAgencies_100725_r!$H$2:$K$561,4,0)</f>
        <v>D1020</v>
      </c>
      <c r="E14" t="str">
        <f>VLOOKUP(B14,[1]FBCENC_PartnerAgencies_100725_r!$H$2:$L$561,5,0)</f>
        <v>D1020FP</v>
      </c>
      <c r="F14" t="str">
        <f>VLOOKUP(B14,[1]FBCENC_PartnerAgencies_100725_r!$H$2:$M$561,6,0)</f>
        <v>Chatham Out-Reach Alliance</v>
      </c>
    </row>
    <row r="15" spans="1:6" x14ac:dyDescent="0.2">
      <c r="A15" s="1">
        <v>13</v>
      </c>
      <c r="B15" t="s">
        <v>26</v>
      </c>
      <c r="C15" t="s">
        <v>27</v>
      </c>
      <c r="D15" t="str">
        <f>VLOOKUP(B15,[1]FBCENC_PartnerAgencies_100725_r!$H$2:$K$561,4,0)</f>
        <v>D1021</v>
      </c>
      <c r="E15" t="str">
        <f>VLOOKUP(B15,[1]FBCENC_PartnerAgencies_100725_r!$H$2:$L$561,5,0)</f>
        <v>D1021FP</v>
      </c>
      <c r="F15" t="str">
        <f>VLOOKUP(B15,[1]FBCENC_PartnerAgencies_100725_r!$H$2:$M$561,6,0)</f>
        <v>Christian Assembly Emergency</v>
      </c>
    </row>
    <row r="16" spans="1:6" x14ac:dyDescent="0.2">
      <c r="A16" s="1">
        <v>14</v>
      </c>
      <c r="B16" t="s">
        <v>28</v>
      </c>
      <c r="C16" t="s">
        <v>29</v>
      </c>
      <c r="D16" t="str">
        <f>VLOOKUP(B16,[1]FBCENC_PartnerAgencies_100725_r!$H$2:$K$561,4,0)</f>
        <v>D1022</v>
      </c>
      <c r="E16" t="str">
        <f>VLOOKUP(B16,[1]FBCENC_PartnerAgencies_100725_r!$H$2:$L$561,5,0)</f>
        <v>D1022FP</v>
      </c>
      <c r="F16" t="str">
        <f>VLOOKUP(B16,[1]FBCENC_PartnerAgencies_100725_r!$H$2:$M$561,6,0)</f>
        <v>Christian Faith Center</v>
      </c>
    </row>
    <row r="17" spans="1:6" x14ac:dyDescent="0.2">
      <c r="A17" s="1">
        <v>15</v>
      </c>
      <c r="B17" t="s">
        <v>30</v>
      </c>
      <c r="C17" t="s">
        <v>31</v>
      </c>
      <c r="D17" t="str">
        <f>VLOOKUP(B17,[1]FBCENC_PartnerAgencies_100725_r!$H$2:$K$561,4,0)</f>
        <v>D1023</v>
      </c>
      <c r="E17" t="str">
        <f>VLOOKUP(B17,[1]FBCENC_PartnerAgencies_100725_r!$H$2:$L$561,5,0)</f>
        <v>D1023FP</v>
      </c>
      <c r="F17" t="str">
        <f>VLOOKUP(B17,[1]FBCENC_PartnerAgencies_100725_r!$H$2:$M$561,6,0)</f>
        <v>The Christian Help Center of Person County</v>
      </c>
    </row>
    <row r="18" spans="1:6" x14ac:dyDescent="0.2">
      <c r="A18" s="1">
        <v>16</v>
      </c>
      <c r="B18" t="s">
        <v>32</v>
      </c>
      <c r="C18" t="s">
        <v>33</v>
      </c>
      <c r="D18" t="str">
        <f>VLOOKUP(B18,[1]FBCENC_PartnerAgencies_100725_r!$H$2:$K$561,4,0)</f>
        <v>D1025</v>
      </c>
      <c r="E18" t="str">
        <f>VLOOKUP(B18,[1]FBCENC_PartnerAgencies_100725_r!$H$2:$L$561,5,0)</f>
        <v>D1025FP</v>
      </c>
      <c r="F18" t="str">
        <f>VLOOKUP(B18,[1]FBCENC_PartnerAgencies_100725_r!$H$2:$M$561,6,0)</f>
        <v>Church of Philadelphia</v>
      </c>
    </row>
    <row r="19" spans="1:6" x14ac:dyDescent="0.2">
      <c r="A19" s="1">
        <v>17</v>
      </c>
      <c r="B19" t="s">
        <v>34</v>
      </c>
      <c r="C19" t="s">
        <v>35</v>
      </c>
      <c r="D19" t="str">
        <f>VLOOKUP(B19,[1]FBCENC_PartnerAgencies_100725_r!$H$2:$K$561,4,0)</f>
        <v>D1026</v>
      </c>
      <c r="E19" t="str">
        <f>VLOOKUP(B19,[1]FBCENC_PartnerAgencies_100725_r!$H$2:$L$561,5,0)</f>
        <v>D1026FP</v>
      </c>
      <c r="F19" t="str">
        <f>VLOOKUP(B19,[1]FBCENC_PartnerAgencies_100725_r!$H$2:$M$561,6,0)</f>
        <v>CIP</v>
      </c>
    </row>
    <row r="20" spans="1:6" x14ac:dyDescent="0.2">
      <c r="A20" s="1">
        <v>18</v>
      </c>
      <c r="B20" t="s">
        <v>36</v>
      </c>
      <c r="C20" t="s">
        <v>37</v>
      </c>
      <c r="D20" t="str">
        <f>VLOOKUP(B20,[1]FBCENC_PartnerAgencies_100725_r!$H$2:$K$561,4,0)</f>
        <v>D1029</v>
      </c>
      <c r="E20" t="str">
        <f>VLOOKUP(B20,[1]FBCENC_PartnerAgencies_100725_r!$H$2:$L$561,5,0)</f>
        <v>D1029FP</v>
      </c>
      <c r="F20" t="str">
        <f>VLOOKUP(B20,[1]FBCENC_PartnerAgencies_100725_r!$H$2:$M$561,6,0)</f>
        <v>Cotton Memorial</v>
      </c>
    </row>
    <row r="21" spans="1:6" x14ac:dyDescent="0.2">
      <c r="A21" s="1">
        <v>19</v>
      </c>
      <c r="B21" t="s">
        <v>38</v>
      </c>
      <c r="C21" t="s">
        <v>39</v>
      </c>
      <c r="D21" t="str">
        <f>VLOOKUP(B21,[1]FBCENC_PartnerAgencies_100725_r!$H$2:$K$561,4,0)</f>
        <v>D1030</v>
      </c>
      <c r="E21" t="str">
        <f>VLOOKUP(B21,[1]FBCENC_PartnerAgencies_100725_r!$H$2:$L$561,5,0)</f>
        <v>D1030DD</v>
      </c>
      <c r="F21" t="str">
        <f>VLOOKUP(B21,[1]FBCENC_PartnerAgencies_100725_r!$H$2:$M$561,6,0)</f>
        <v>Carr Methodist Church</v>
      </c>
    </row>
    <row r="22" spans="1:6" x14ac:dyDescent="0.2">
      <c r="A22" s="1">
        <v>20</v>
      </c>
      <c r="B22" t="s">
        <v>40</v>
      </c>
      <c r="C22" t="s">
        <v>35</v>
      </c>
      <c r="D22" t="str">
        <f>VLOOKUP(B22,[1]FBCENC_PartnerAgencies_100725_r!$H$2:$K$561,4,0)</f>
        <v>D1033</v>
      </c>
      <c r="E22" t="str">
        <f>VLOOKUP(B22,[1]FBCENC_PartnerAgencies_100725_r!$H$2:$L$561,5,0)</f>
        <v>D1033FP</v>
      </c>
      <c r="F22" t="str">
        <f>VLOOKUP(B22,[1]FBCENC_PartnerAgencies_100725_r!$H$2:$M$561,6,0)</f>
        <v>Divine Grace Fellowship</v>
      </c>
    </row>
    <row r="23" spans="1:6" x14ac:dyDescent="0.2">
      <c r="A23" s="1">
        <v>21</v>
      </c>
      <c r="B23" t="s">
        <v>41</v>
      </c>
      <c r="C23" t="s">
        <v>42</v>
      </c>
      <c r="D23" t="str">
        <f>VLOOKUP(B23,[1]FBCENC_PartnerAgencies_100725_r!$H$2:$K$561,4,0)</f>
        <v>D1041</v>
      </c>
      <c r="E23" t="str">
        <f>VLOOKUP(B23,[1]FBCENC_PartnerAgencies_100725_r!$H$2:$L$561,5,0)</f>
        <v>D1041FP</v>
      </c>
      <c r="F23" t="str">
        <f>VLOOKUP(B23,[1]FBCENC_PartnerAgencies_100725_r!$H$2:$M$561,6,0)</f>
        <v>Emanuel Tabernacle Holiness</v>
      </c>
    </row>
    <row r="24" spans="1:6" x14ac:dyDescent="0.2">
      <c r="A24" s="1">
        <v>22</v>
      </c>
      <c r="B24" t="s">
        <v>43</v>
      </c>
      <c r="C24" t="s">
        <v>44</v>
      </c>
      <c r="D24" t="str">
        <f>VLOOKUP(B24,[1]FBCENC_PartnerAgencies_100725_r!$H$2:$K$561,4,0)</f>
        <v>D1043</v>
      </c>
      <c r="E24" t="str">
        <f>VLOOKUP(B24,[1]FBCENC_PartnerAgencies_100725_r!$H$2:$L$561,5,0)</f>
        <v>D1043FP</v>
      </c>
      <c r="F24" t="str">
        <f>VLOOKUP(B24,[1]FBCENC_PartnerAgencies_100725_r!$H$2:$M$561,6,0)</f>
        <v>Faith Gospel Tabernacle</v>
      </c>
    </row>
    <row r="25" spans="1:6" x14ac:dyDescent="0.2">
      <c r="A25" s="1">
        <v>23</v>
      </c>
      <c r="B25" t="s">
        <v>45</v>
      </c>
      <c r="C25" t="s">
        <v>46</v>
      </c>
      <c r="D25" t="str">
        <f>VLOOKUP(B25,[1]FBCENC_PartnerAgencies_100725_r!$H$2:$K$561,4,0)</f>
        <v>D1049</v>
      </c>
      <c r="E25" t="str">
        <f>VLOOKUP(B25,[1]FBCENC_PartnerAgencies_100725_r!$H$2:$L$561,5,0)</f>
        <v>D1049FP</v>
      </c>
      <c r="F25" t="str">
        <f>VLOOKUP(B25,[1]FBCENC_PartnerAgencies_100725_r!$H$2:$M$561,6,0)</f>
        <v>First Calvary Baptist Church</v>
      </c>
    </row>
    <row r="26" spans="1:6" x14ac:dyDescent="0.2">
      <c r="A26" s="1">
        <v>24</v>
      </c>
      <c r="B26" t="s">
        <v>47</v>
      </c>
      <c r="C26" t="s">
        <v>48</v>
      </c>
      <c r="D26" t="str">
        <f>VLOOKUP(B26,[1]FBCENC_PartnerAgencies_100725_r!$H$2:$K$561,4,0)</f>
        <v>D1050</v>
      </c>
      <c r="E26" t="str">
        <f>VLOOKUP(B26,[1]FBCENC_PartnerAgencies_100725_r!$H$2:$L$561,5,0)</f>
        <v>D1050FP</v>
      </c>
      <c r="F26" t="str">
        <f>VLOOKUP(B26,[1]FBCENC_PartnerAgencies_100725_r!$H$2:$M$561,6,0)</f>
        <v>Fisher Memorial</v>
      </c>
    </row>
    <row r="27" spans="1:6" x14ac:dyDescent="0.2">
      <c r="A27" s="1">
        <v>25</v>
      </c>
      <c r="B27" t="s">
        <v>49</v>
      </c>
      <c r="C27" t="s">
        <v>50</v>
      </c>
      <c r="D27" t="str">
        <f>VLOOKUP(B27,[1]FBCENC_PartnerAgencies_100725_r!$H$2:$K$561,4,0)</f>
        <v>D1059</v>
      </c>
      <c r="E27" t="str">
        <f>VLOOKUP(B27,[1]FBCENC_PartnerAgencies_100725_r!$H$2:$L$561,5,0)</f>
        <v>D1059FP</v>
      </c>
      <c r="F27" t="str">
        <f>VLOOKUP(B27,[1]FBCENC_PartnerAgencies_100725_r!$H$2:$M$561,6,0)</f>
        <v>Gang Free INC</v>
      </c>
    </row>
    <row r="28" spans="1:6" x14ac:dyDescent="0.2">
      <c r="A28" s="1">
        <v>26</v>
      </c>
      <c r="B28" t="s">
        <v>51</v>
      </c>
      <c r="C28" t="s">
        <v>52</v>
      </c>
      <c r="D28" t="str">
        <f>VLOOKUP(B28,[1]FBCENC_PartnerAgencies_100725_r!$H$2:$K$561,4,0)</f>
        <v>D1060</v>
      </c>
      <c r="E28" t="str">
        <f>VLOOKUP(B28,[1]FBCENC_PartnerAgencies_100725_r!$H$2:$L$561,5,0)</f>
        <v>D1060DD</v>
      </c>
      <c r="F28" t="str">
        <f>VLOOKUP(B28,[1]FBCENC_PartnerAgencies_100725_r!$H$2:$M$561,6,0)</f>
        <v>Grace and Peace Tabernacle</v>
      </c>
    </row>
    <row r="29" spans="1:6" x14ac:dyDescent="0.2">
      <c r="A29" s="1">
        <v>27</v>
      </c>
      <c r="B29" t="s">
        <v>53</v>
      </c>
      <c r="C29" t="s">
        <v>5</v>
      </c>
      <c r="D29" t="str">
        <f>VLOOKUP(B29,[1]FBCENC_PartnerAgencies_100725_r!$H$2:$K$561,4,0)</f>
        <v>D1061</v>
      </c>
      <c r="E29" t="str">
        <f>VLOOKUP(B29,[1]FBCENC_PartnerAgencies_100725_r!$H$2:$L$561,5,0)</f>
        <v>D1061FP</v>
      </c>
      <c r="F29" t="str">
        <f>VLOOKUP(B29,[1]FBCENC_PartnerAgencies_100725_r!$H$2:$M$561,6,0)</f>
        <v>Mom and Pops Giving Closet</v>
      </c>
    </row>
    <row r="30" spans="1:6" x14ac:dyDescent="0.2">
      <c r="A30" s="1">
        <v>28</v>
      </c>
      <c r="B30" t="s">
        <v>54</v>
      </c>
      <c r="C30" t="s">
        <v>55</v>
      </c>
      <c r="D30" t="str">
        <f>VLOOKUP(B30,[1]FBCENC_PartnerAgencies_100725_r!$H$2:$K$561,4,0)</f>
        <v>D1062</v>
      </c>
      <c r="E30" t="str">
        <f>VLOOKUP(B30,[1]FBCENC_PartnerAgencies_100725_r!$H$2:$L$561,5,0)</f>
        <v>D1062FP</v>
      </c>
      <c r="F30" t="str">
        <f>VLOOKUP(B30,[1]FBCENC_PartnerAgencies_100725_r!$H$2:$M$561,6,0)</f>
        <v>Grace Outreach Enrichment</v>
      </c>
    </row>
    <row r="31" spans="1:6" x14ac:dyDescent="0.2">
      <c r="A31" s="1">
        <v>29</v>
      </c>
      <c r="B31" t="s">
        <v>56</v>
      </c>
      <c r="C31" t="s">
        <v>57</v>
      </c>
      <c r="D31" t="str">
        <f>VLOOKUP(B31,[1]FBCENC_PartnerAgencies_100725_r!$H$2:$K$561,4,0)</f>
        <v>D1063</v>
      </c>
      <c r="E31" t="str">
        <f>VLOOKUP(B31,[1]FBCENC_PartnerAgencies_100725_r!$H$2:$L$561,5,0)</f>
        <v>D1063FP</v>
      </c>
      <c r="F31" t="str">
        <f>VLOOKUP(B31,[1]FBCENC_PartnerAgencies_100725_r!$H$2:$M$561,6,0)</f>
        <v>Greater Deliverance Tabernacle</v>
      </c>
    </row>
    <row r="32" spans="1:6" x14ac:dyDescent="0.2">
      <c r="A32" s="1">
        <v>30</v>
      </c>
      <c r="B32" t="s">
        <v>58</v>
      </c>
      <c r="C32" t="s">
        <v>59</v>
      </c>
      <c r="D32" t="str">
        <f>VLOOKUP(B32,[1]FBCENC_PartnerAgencies_100725_r!$H$2:$K$561,4,0)</f>
        <v>D1064</v>
      </c>
      <c r="E32" t="str">
        <f>VLOOKUP(B32,[1]FBCENC_PartnerAgencies_100725_r!$H$2:$L$561,5,0)</f>
        <v>D1064FP</v>
      </c>
      <c r="F32" t="str">
        <f>VLOOKUP(B32,[1]FBCENC_PartnerAgencies_100725_r!$H$2:$M$561,6,0)</f>
        <v>Hannah's Community Kitchen</v>
      </c>
    </row>
    <row r="33" spans="1:6" x14ac:dyDescent="0.2">
      <c r="A33" s="1">
        <v>31</v>
      </c>
      <c r="B33" t="s">
        <v>60</v>
      </c>
      <c r="C33" t="s">
        <v>61</v>
      </c>
      <c r="D33" t="str">
        <f>VLOOKUP(B33,[1]FBCENC_PartnerAgencies_100725_r!$H$2:$K$561,4,0)</f>
        <v>D1065</v>
      </c>
      <c r="E33" t="str">
        <f>VLOOKUP(B33,[1]FBCENC_PartnerAgencies_100725_r!$H$2:$L$561,5,0)</f>
        <v>D1065FP</v>
      </c>
      <c r="F33" t="str">
        <f>VLOOKUP(B33,[1]FBCENC_PartnerAgencies_100725_r!$H$2:$M$561,6,0)</f>
        <v>Greater Ransom Way of the</v>
      </c>
    </row>
    <row r="34" spans="1:6" x14ac:dyDescent="0.2">
      <c r="A34" s="1">
        <v>32</v>
      </c>
      <c r="B34" t="s">
        <v>62</v>
      </c>
      <c r="C34" t="s">
        <v>63</v>
      </c>
      <c r="D34" t="str">
        <f>VLOOKUP(B34,[1]FBCENC_PartnerAgencies_100725_r!$H$2:$K$561,4,0)</f>
        <v>D1066</v>
      </c>
      <c r="E34" t="str">
        <f>VLOOKUP(B34,[1]FBCENC_PartnerAgencies_100725_r!$H$2:$L$561,5,0)</f>
        <v>D1066FP</v>
      </c>
      <c r="F34" t="str">
        <f>VLOOKUP(B34,[1]FBCENC_PartnerAgencies_100725_r!$H$2:$M$561,6,0)</f>
        <v>Greater Refuge Temple</v>
      </c>
    </row>
    <row r="35" spans="1:6" x14ac:dyDescent="0.2">
      <c r="A35" s="1">
        <v>33</v>
      </c>
      <c r="B35" t="s">
        <v>64</v>
      </c>
      <c r="C35" t="s">
        <v>65</v>
      </c>
      <c r="D35" t="str">
        <f>VLOOKUP(B35,[1]FBCENC_PartnerAgencies_100725_r!$H$2:$K$561,4,0)</f>
        <v>D1072</v>
      </c>
      <c r="E35" t="str">
        <f>VLOOKUP(B35,[1]FBCENC_PartnerAgencies_100725_r!$H$2:$L$561,5,0)</f>
        <v>D1072FP</v>
      </c>
      <c r="F35" t="str">
        <f>VLOOKUP(B35,[1]FBCENC_PartnerAgencies_100725_r!$H$2:$M$561,6,0)</f>
        <v>Healing With CAARE</v>
      </c>
    </row>
    <row r="36" spans="1:6" x14ac:dyDescent="0.2">
      <c r="A36" s="1">
        <v>34</v>
      </c>
      <c r="B36" t="s">
        <v>66</v>
      </c>
      <c r="C36" t="s">
        <v>67</v>
      </c>
      <c r="D36" t="str">
        <f>VLOOKUP(B36,[1]FBCENC_PartnerAgencies_100725_r!$H$2:$K$561,4,0)</f>
        <v>D1073</v>
      </c>
      <c r="E36" t="str">
        <f>VLOOKUP(B36,[1]FBCENC_PartnerAgencies_100725_r!$H$2:$L$561,5,0)</f>
        <v>D1073FP</v>
      </c>
      <c r="F36" t="str">
        <f>VLOOKUP(B36,[1]FBCENC_PartnerAgencies_100725_r!$H$2:$M$561,6,0)</f>
        <v>Hillsborough Church Of God</v>
      </c>
    </row>
    <row r="37" spans="1:6" x14ac:dyDescent="0.2">
      <c r="A37" s="1">
        <v>35</v>
      </c>
      <c r="B37" t="s">
        <v>68</v>
      </c>
      <c r="C37" t="s">
        <v>5</v>
      </c>
      <c r="D37" t="str">
        <f>VLOOKUP(B37,[1]FBCENC_PartnerAgencies_100725_r!$H$2:$K$561,4,0)</f>
        <v>D1075</v>
      </c>
      <c r="E37" t="str">
        <f>VLOOKUP(B37,[1]FBCENC_PartnerAgencies_100725_r!$H$2:$L$561,5,0)</f>
        <v>D1075FP</v>
      </c>
      <c r="F37" t="str">
        <f>VLOOKUP(B37,[1]FBCENC_PartnerAgencies_100725_r!$H$2:$M$561,6,0)</f>
        <v>Emanuel Food Pantry</v>
      </c>
    </row>
    <row r="38" spans="1:6" x14ac:dyDescent="0.2">
      <c r="A38" s="1">
        <v>36</v>
      </c>
      <c r="B38" t="s">
        <v>69</v>
      </c>
      <c r="C38" t="s">
        <v>70</v>
      </c>
      <c r="D38" t="str">
        <f>VLOOKUP(B38,[1]FBCENC_PartnerAgencies_100725_r!$H$2:$K$561,4,0)</f>
        <v>D1076</v>
      </c>
      <c r="E38" t="str">
        <f>VLOOKUP(B38,[1]FBCENC_PartnerAgencies_100725_r!$H$2:$L$561,5,0)</f>
        <v>D1076FP</v>
      </c>
      <c r="F38" t="str">
        <f>VLOOKUP(B38,[1]FBCENC_PartnerAgencies_100725_r!$H$2:$M$561,6,0)</f>
        <v>Immanuel Temple SDA Community</v>
      </c>
    </row>
    <row r="39" spans="1:6" x14ac:dyDescent="0.2">
      <c r="A39" s="1">
        <v>37</v>
      </c>
      <c r="B39" t="s">
        <v>71</v>
      </c>
      <c r="C39" t="s">
        <v>72</v>
      </c>
      <c r="D39" t="str">
        <f>VLOOKUP(B39,[1]FBCENC_PartnerAgencies_100725_r!$H$2:$K$561,4,0)</f>
        <v>D1077</v>
      </c>
      <c r="E39" t="str">
        <f>VLOOKUP(B39,[1]FBCENC_PartnerAgencies_100725_r!$H$2:$L$561,5,0)</f>
        <v>D1077FP</v>
      </c>
      <c r="F39" t="str">
        <f>VLOOKUP(B39,[1]FBCENC_PartnerAgencies_100725_r!$H$2:$M$561,6,0)</f>
        <v>Inter-Faith Council Community Market</v>
      </c>
    </row>
    <row r="40" spans="1:6" x14ac:dyDescent="0.2">
      <c r="A40" s="1">
        <v>38</v>
      </c>
      <c r="B40" t="s">
        <v>73</v>
      </c>
      <c r="C40" t="s">
        <v>5</v>
      </c>
      <c r="D40" t="str">
        <f>VLOOKUP(B40,[1]FBCENC_PartnerAgencies_100725_r!$H$2:$K$561,4,0)</f>
        <v>D1077</v>
      </c>
      <c r="E40" t="str">
        <f>VLOOKUP(B40,[1]FBCENC_PartnerAgencies_100725_r!$H$2:$L$561,5,0)</f>
        <v>D1077SK</v>
      </c>
      <c r="F40" t="str">
        <f>VLOOKUP(B40,[1]FBCENC_PartnerAgencies_100725_r!$H$2:$M$561,6,0)</f>
        <v>Inter-Faith Council Community Kitchen</v>
      </c>
    </row>
    <row r="41" spans="1:6" x14ac:dyDescent="0.2">
      <c r="A41" s="1">
        <v>39</v>
      </c>
      <c r="B41" t="s">
        <v>74</v>
      </c>
      <c r="C41" t="s">
        <v>75</v>
      </c>
      <c r="D41" t="str">
        <f>VLOOKUP(B41,[1]FBCENC_PartnerAgencies_100725_r!$H$2:$K$561,4,0)</f>
        <v>D1086</v>
      </c>
      <c r="E41" t="str">
        <f>VLOOKUP(B41,[1]FBCENC_PartnerAgencies_100725_r!$H$2:$L$561,5,0)</f>
        <v>D1086FP</v>
      </c>
      <c r="F41" t="str">
        <f>VLOOKUP(B41,[1]FBCENC_PartnerAgencies_100725_r!$H$2:$M$561,6,0)</f>
        <v>Kings Park Church</v>
      </c>
    </row>
    <row r="42" spans="1:6" x14ac:dyDescent="0.2">
      <c r="A42" s="1">
        <v>40</v>
      </c>
      <c r="B42" t="s">
        <v>76</v>
      </c>
      <c r="C42" t="s">
        <v>5</v>
      </c>
      <c r="D42" t="str">
        <f>VLOOKUP(B42,[1]FBCENC_PartnerAgencies_100725_r!$H$2:$K$561,4,0)</f>
        <v>D1087</v>
      </c>
      <c r="E42" t="str">
        <f>VLOOKUP(B42,[1]FBCENC_PartnerAgencies_100725_r!$H$2:$L$561,5,0)</f>
        <v>D1087FP</v>
      </c>
      <c r="F42" t="str">
        <f>VLOOKUP(B42,[1]FBCENC_PartnerAgencies_100725_r!$H$2:$M$561,6,0)</f>
        <v>Kitrell Shiloh Missionary</v>
      </c>
    </row>
    <row r="43" spans="1:6" x14ac:dyDescent="0.2">
      <c r="A43" s="1">
        <v>41</v>
      </c>
      <c r="B43" t="s">
        <v>77</v>
      </c>
      <c r="C43" t="s">
        <v>78</v>
      </c>
      <c r="D43" t="e">
        <f>VLOOKUP(B43,[1]FBCENC_PartnerAgencies_100725_r!$H$2:$K$561,4,0)</f>
        <v>#N/A</v>
      </c>
      <c r="E43" t="e">
        <f>VLOOKUP(B43,[1]FBCENC_PartnerAgencies_100725_r!$H$2:$L$561,5,0)</f>
        <v>#N/A</v>
      </c>
      <c r="F43" t="e">
        <f>VLOOKUP(B43,[1]FBCENC_PartnerAgencies_100725_r!$H$2:$M$561,6,0)</f>
        <v>#N/A</v>
      </c>
    </row>
    <row r="44" spans="1:6" x14ac:dyDescent="0.2">
      <c r="A44" s="1">
        <v>42</v>
      </c>
      <c r="B44" t="s">
        <v>79</v>
      </c>
      <c r="C44" t="s">
        <v>80</v>
      </c>
      <c r="D44" t="str">
        <f>VLOOKUP(B44,[1]FBCENC_PartnerAgencies_100725_r!$H$2:$K$561,4,0)</f>
        <v>D1095</v>
      </c>
      <c r="E44" t="str">
        <f>VLOOKUP(B44,[1]FBCENC_PartnerAgencies_100725_r!$H$2:$L$561,5,0)</f>
        <v>D1095DD</v>
      </c>
      <c r="F44" t="str">
        <f>VLOOKUP(B44,[1]FBCENC_PartnerAgencies_100725_r!$H$2:$M$561,6,0)</f>
        <v>Mebane's Chapel United Holy</v>
      </c>
    </row>
    <row r="45" spans="1:6" x14ac:dyDescent="0.2">
      <c r="A45" s="1">
        <v>43</v>
      </c>
      <c r="B45" t="s">
        <v>81</v>
      </c>
      <c r="C45" t="s">
        <v>82</v>
      </c>
      <c r="D45" t="str">
        <f>VLOOKUP(B45,[1]FBCENC_PartnerAgencies_100725_r!$H$2:$K$561,4,0)</f>
        <v>D1097</v>
      </c>
      <c r="E45" t="str">
        <f>VLOOKUP(B45,[1]FBCENC_PartnerAgencies_100725_r!$H$2:$L$561,5,0)</f>
        <v>D1097FP</v>
      </c>
      <c r="F45" t="str">
        <f>VLOOKUP(B45,[1]FBCENC_PartnerAgencies_100725_r!$H$2:$M$561,6,0)</f>
        <v>Ministerios Guerreros De Jes˙Cristo International</v>
      </c>
    </row>
    <row r="46" spans="1:6" x14ac:dyDescent="0.2">
      <c r="A46" s="1">
        <v>44</v>
      </c>
      <c r="B46" t="s">
        <v>83</v>
      </c>
      <c r="C46" t="s">
        <v>84</v>
      </c>
      <c r="D46" t="str">
        <f>VLOOKUP(B46,[1]FBCENC_PartnerAgencies_100725_r!$H$2:$K$561,4,0)</f>
        <v>D1099</v>
      </c>
      <c r="E46" t="str">
        <f>VLOOKUP(B46,[1]FBCENC_PartnerAgencies_100725_r!$H$2:$L$561,5,0)</f>
        <v>D1099FP</v>
      </c>
      <c r="F46" t="str">
        <f>VLOOKUP(B46,[1]FBCENC_PartnerAgencies_100725_r!$H$2:$M$561,6,0)</f>
        <v>Mt Bethel United Methodist</v>
      </c>
    </row>
    <row r="47" spans="1:6" x14ac:dyDescent="0.2">
      <c r="A47" s="1">
        <v>45</v>
      </c>
      <c r="B47" t="s">
        <v>85</v>
      </c>
      <c r="C47" t="s">
        <v>86</v>
      </c>
      <c r="D47" t="str">
        <f>VLOOKUP(B47,[1]FBCENC_PartnerAgencies_100725_r!$H$2:$K$561,4,0)</f>
        <v>D1103</v>
      </c>
      <c r="E47" t="str">
        <f>VLOOKUP(B47,[1]FBCENC_PartnerAgencies_100725_r!$H$2:$L$561,5,0)</f>
        <v>D1103FP</v>
      </c>
      <c r="F47" t="str">
        <f>VLOOKUP(B47,[1]FBCENC_PartnerAgencies_100725_r!$H$2:$M$561,6,0)</f>
        <v>Mt Zion Christian Church</v>
      </c>
    </row>
    <row r="48" spans="1:6" x14ac:dyDescent="0.2">
      <c r="A48" s="1">
        <v>46</v>
      </c>
      <c r="B48" t="s">
        <v>87</v>
      </c>
      <c r="C48" t="s">
        <v>88</v>
      </c>
      <c r="D48" t="str">
        <f>VLOOKUP(B48,[1]FBCENC_PartnerAgencies_100725_r!$H$2:$K$561,4,0)</f>
        <v>D1105</v>
      </c>
      <c r="E48" t="str">
        <f>VLOOKUP(B48,[1]FBCENC_PartnerAgencies_100725_r!$H$2:$L$561,5,0)</f>
        <v>D1105FP</v>
      </c>
      <c r="F48" t="str">
        <f>VLOOKUP(B48,[1]FBCENC_PartnerAgencies_100725_r!$H$2:$M$561,6,0)</f>
        <v>Oak Grove Community</v>
      </c>
    </row>
    <row r="49" spans="1:6" x14ac:dyDescent="0.2">
      <c r="A49" s="1">
        <v>47</v>
      </c>
      <c r="B49" t="s">
        <v>89</v>
      </c>
      <c r="C49" t="s">
        <v>90</v>
      </c>
      <c r="D49" t="str">
        <f>VLOOKUP(B49,[1]FBCENC_PartnerAgencies_100725_r!$H$2:$K$561,4,0)</f>
        <v>D1106</v>
      </c>
      <c r="E49" t="str">
        <f>VLOOKUP(B49,[1]FBCENC_PartnerAgencies_100725_r!$H$2:$L$561,5,0)</f>
        <v>D1106FP</v>
      </c>
      <c r="F49" t="str">
        <f>VLOOKUP(B49,[1]FBCENC_PartnerAgencies_100725_r!$H$2:$M$561,6,0)</f>
        <v>Oak Grove UA Free Will Baptist</v>
      </c>
    </row>
    <row r="50" spans="1:6" x14ac:dyDescent="0.2">
      <c r="A50" s="1">
        <v>48</v>
      </c>
      <c r="B50" t="s">
        <v>91</v>
      </c>
      <c r="C50" t="s">
        <v>92</v>
      </c>
      <c r="D50" t="str">
        <f>VLOOKUP(B50,[1]FBCENC_PartnerAgencies_100725_r!$H$2:$K$561,4,0)</f>
        <v>D1107</v>
      </c>
      <c r="E50" t="str">
        <f>VLOOKUP(B50,[1]FBCENC_PartnerAgencies_100725_r!$H$2:$L$561,5,0)</f>
        <v>D1107FP</v>
      </c>
      <c r="F50" t="str">
        <f>VLOOKUP(B50,[1]FBCENC_PartnerAgencies_100725_r!$H$2:$M$561,6,0)</f>
        <v>Obedience To The Word</v>
      </c>
    </row>
    <row r="51" spans="1:6" x14ac:dyDescent="0.2">
      <c r="A51" s="1">
        <v>49</v>
      </c>
      <c r="B51" t="s">
        <v>93</v>
      </c>
      <c r="C51" t="s">
        <v>94</v>
      </c>
      <c r="D51" t="str">
        <f>VLOOKUP(B51,[1]FBCENC_PartnerAgencies_100725_r!$H$2:$K$561,4,0)</f>
        <v>D1110</v>
      </c>
      <c r="E51" t="str">
        <f>VLOOKUP(B51,[1]FBCENC_PartnerAgencies_100725_r!$H$2:$L$561,5,0)</f>
        <v>D1110FP</v>
      </c>
      <c r="F51" t="str">
        <f>VLOOKUP(B51,[1]FBCENC_PartnerAgencies_100725_r!$H$2:$M$561,6,0)</f>
        <v>Orange Congregations Mission</v>
      </c>
    </row>
    <row r="52" spans="1:6" x14ac:dyDescent="0.2">
      <c r="A52" s="1">
        <v>50</v>
      </c>
      <c r="B52" t="s">
        <v>95</v>
      </c>
      <c r="C52" t="s">
        <v>96</v>
      </c>
      <c r="D52" t="str">
        <f>VLOOKUP(B52,[1]FBCENC_PartnerAgencies_100725_r!$H$2:$K$561,4,0)</f>
        <v>D1114</v>
      </c>
      <c r="E52" t="str">
        <f>VLOOKUP(B52,[1]FBCENC_PartnerAgencies_100725_r!$H$2:$L$561,5,0)</f>
        <v>D1114DD</v>
      </c>
      <c r="F52" t="str">
        <f>VLOOKUP(B52,[1]FBCENC_PartnerAgencies_100725_r!$H$2:$M$561,6,0)</f>
        <v>Oxford Speaks Life Church House of Ministries</v>
      </c>
    </row>
    <row r="53" spans="1:6" x14ac:dyDescent="0.2">
      <c r="A53" s="1">
        <v>51</v>
      </c>
      <c r="B53" t="s">
        <v>97</v>
      </c>
      <c r="C53" t="s">
        <v>5</v>
      </c>
      <c r="D53" t="str">
        <f>VLOOKUP(B53,[1]FBCENC_PartnerAgencies_100725_r!$H$2:$K$561,4,0)</f>
        <v>D1116</v>
      </c>
      <c r="E53" t="str">
        <f>VLOOKUP(B53,[1]FBCENC_PartnerAgencies_100725_r!$H$2:$L$561,5,0)</f>
        <v>D1116FP</v>
      </c>
      <c r="F53" t="str">
        <f>VLOOKUP(B53,[1]FBCENC_PartnerAgencies_100725_r!$H$2:$M$561,6,0)</f>
        <v>Pettiford Grove Baptist Church</v>
      </c>
    </row>
    <row r="54" spans="1:6" x14ac:dyDescent="0.2">
      <c r="A54" s="1">
        <v>52</v>
      </c>
      <c r="B54" t="s">
        <v>98</v>
      </c>
      <c r="C54" t="s">
        <v>99</v>
      </c>
      <c r="D54" t="str">
        <f>VLOOKUP(B54,[1]FBCENC_PartnerAgencies_100725_r!$H$2:$K$561,4,0)</f>
        <v>D1117</v>
      </c>
      <c r="E54" t="str">
        <f>VLOOKUP(B54,[1]FBCENC_PartnerAgencies_100725_r!$H$2:$L$561,5,0)</f>
        <v>D1117FP</v>
      </c>
      <c r="F54" t="str">
        <f>VLOOKUP(B54,[1]FBCENC_PartnerAgencies_100725_r!$H$2:$M$561,6,0)</f>
        <v>Pine Grove Baptist Church</v>
      </c>
    </row>
    <row r="55" spans="1:6" x14ac:dyDescent="0.2">
      <c r="A55" s="1">
        <v>53</v>
      </c>
      <c r="B55" t="s">
        <v>100</v>
      </c>
      <c r="C55" t="s">
        <v>101</v>
      </c>
      <c r="D55" t="str">
        <f>VLOOKUP(B55,[1]FBCENC_PartnerAgencies_100725_r!$H$2:$K$561,4,0)</f>
        <v>D1123</v>
      </c>
      <c r="E55" t="str">
        <f>VLOOKUP(B55,[1]FBCENC_PartnerAgencies_100725_r!$H$2:$L$561,5,0)</f>
        <v>D1123FP</v>
      </c>
      <c r="F55" t="str">
        <f>VLOOKUP(B55,[1]FBCENC_PartnerAgencies_100725_r!$H$2:$M$561,6,0)</f>
        <v>Rogers-Eubanks Neighborhood</v>
      </c>
    </row>
    <row r="56" spans="1:6" x14ac:dyDescent="0.2">
      <c r="A56" s="1">
        <v>54</v>
      </c>
      <c r="B56" t="s">
        <v>102</v>
      </c>
      <c r="C56" t="s">
        <v>103</v>
      </c>
      <c r="D56" t="str">
        <f>VLOOKUP(B56,[1]FBCENC_PartnerAgencies_100725_r!$H$2:$K$561,4,0)</f>
        <v>D1124</v>
      </c>
      <c r="E56" t="str">
        <f>VLOOKUP(B56,[1]FBCENC_PartnerAgencies_100725_r!$H$2:$L$561,5,0)</f>
        <v>D1124FP</v>
      </c>
      <c r="F56" t="str">
        <f>VLOOKUP(B56,[1]FBCENC_PartnerAgencies_100725_r!$H$2:$M$561,6,0)</f>
        <v>Rougemont Food Pantry</v>
      </c>
    </row>
    <row r="57" spans="1:6" x14ac:dyDescent="0.2">
      <c r="A57" s="1">
        <v>55</v>
      </c>
      <c r="B57" t="s">
        <v>104</v>
      </c>
      <c r="C57" t="s">
        <v>105</v>
      </c>
      <c r="D57" t="str">
        <f>VLOOKUP(B57,[1]FBCENC_PartnerAgencies_100725_r!$H$2:$K$561,4,0)</f>
        <v>D1126</v>
      </c>
      <c r="E57" t="str">
        <f>VLOOKUP(B57,[1]FBCENC_PartnerAgencies_100725_r!$H$2:$L$561,5,0)</f>
        <v>D1126FP</v>
      </c>
      <c r="F57" t="str">
        <f>VLOOKUP(B57,[1]FBCENC_PartnerAgencies_100725_r!$H$2:$M$561,6,0)</f>
        <v>Russell Memorial CME Church</v>
      </c>
    </row>
    <row r="58" spans="1:6" x14ac:dyDescent="0.2">
      <c r="A58" s="1">
        <v>56</v>
      </c>
      <c r="B58" t="s">
        <v>106</v>
      </c>
      <c r="C58" t="s">
        <v>107</v>
      </c>
      <c r="D58" t="str">
        <f>VLOOKUP(B58,[1]FBCENC_PartnerAgencies_100725_r!$H$2:$K$561,4,0)</f>
        <v>D1127</v>
      </c>
      <c r="E58" t="str">
        <f>VLOOKUP(B58,[1]FBCENC_PartnerAgencies_100725_r!$H$2:$L$561,5,0)</f>
        <v>D1127FP</v>
      </c>
      <c r="F58" t="str">
        <f>VLOOKUP(B58,[1]FBCENC_PartnerAgencies_100725_r!$H$2:$M$561,6,0)</f>
        <v>Salvation Army-Durham</v>
      </c>
    </row>
    <row r="59" spans="1:6" x14ac:dyDescent="0.2">
      <c r="A59" s="1">
        <v>57</v>
      </c>
      <c r="B59" t="s">
        <v>108</v>
      </c>
      <c r="C59" t="s">
        <v>5</v>
      </c>
      <c r="D59" t="str">
        <f>VLOOKUP(B59,[1]FBCENC_PartnerAgencies_100725_r!$H$2:$K$561,4,0)</f>
        <v>D1129</v>
      </c>
      <c r="E59" t="str">
        <f>VLOOKUP(B59,[1]FBCENC_PartnerAgencies_100725_r!$H$2:$L$561,5,0)</f>
        <v>D1129FP</v>
      </c>
      <c r="F59" t="str">
        <f>VLOOKUP(B59,[1]FBCENC_PartnerAgencies_100725_r!$H$2:$M$561,6,0)</f>
        <v>Salvation Army-Henderson</v>
      </c>
    </row>
    <row r="60" spans="1:6" x14ac:dyDescent="0.2">
      <c r="A60" s="1">
        <v>58</v>
      </c>
      <c r="B60" t="s">
        <v>109</v>
      </c>
      <c r="C60" t="s">
        <v>5</v>
      </c>
      <c r="D60" t="str">
        <f>VLOOKUP(B60,[1]FBCENC_PartnerAgencies_100725_r!$H$2:$K$561,4,0)</f>
        <v>D1130</v>
      </c>
      <c r="E60" t="str">
        <f>VLOOKUP(B60,[1]FBCENC_PartnerAgencies_100725_r!$H$2:$L$561,5,0)</f>
        <v>D1130FP</v>
      </c>
      <c r="F60" t="str">
        <f>VLOOKUP(B60,[1]FBCENC_PartnerAgencies_100725_r!$H$2:$M$561,6,0)</f>
        <v>Seed Time &amp; Harvest Fellowship</v>
      </c>
    </row>
    <row r="61" spans="1:6" x14ac:dyDescent="0.2">
      <c r="A61" s="1">
        <v>59</v>
      </c>
      <c r="B61" t="s">
        <v>110</v>
      </c>
      <c r="C61" t="s">
        <v>111</v>
      </c>
      <c r="D61" t="str">
        <f>VLOOKUP(B61,[1]FBCENC_PartnerAgencies_100725_r!$H$2:$K$561,4,0)</f>
        <v>D1131</v>
      </c>
      <c r="E61" t="str">
        <f>VLOOKUP(B61,[1]FBCENC_PartnerAgencies_100725_r!$H$2:$L$561,5,0)</f>
        <v>D1131FP</v>
      </c>
      <c r="F61" t="str">
        <f>VLOOKUP(B61,[1]FBCENC_PartnerAgencies_100725_r!$H$2:$M$561,6,0)</f>
        <v>Shiloh Baptist Church</v>
      </c>
    </row>
    <row r="62" spans="1:6" x14ac:dyDescent="0.2">
      <c r="A62" s="1">
        <v>60</v>
      </c>
      <c r="B62" t="s">
        <v>112</v>
      </c>
      <c r="C62" t="s">
        <v>113</v>
      </c>
      <c r="D62" t="str">
        <f>VLOOKUP(B62,[1]FBCENC_PartnerAgencies_100725_r!$H$2:$K$561,4,0)</f>
        <v>D1133</v>
      </c>
      <c r="E62" t="str">
        <f>VLOOKUP(B62,[1]FBCENC_PartnerAgencies_100725_r!$H$2:$L$561,5,0)</f>
        <v>D1133FP</v>
      </c>
      <c r="F62" t="str">
        <f>VLOOKUP(B62,[1]FBCENC_PartnerAgencies_100725_r!$H$2:$M$561,6,0)</f>
        <v>Saint John United Holy Church</v>
      </c>
    </row>
    <row r="63" spans="1:6" x14ac:dyDescent="0.2">
      <c r="A63" s="1">
        <v>61</v>
      </c>
      <c r="B63" t="s">
        <v>114</v>
      </c>
      <c r="C63" t="s">
        <v>115</v>
      </c>
      <c r="D63" t="str">
        <f>VLOOKUP(B63,[1]FBCENC_PartnerAgencies_100725_r!$H$2:$K$561,4,0)</f>
        <v>D1134</v>
      </c>
      <c r="E63" t="str">
        <f>VLOOKUP(B63,[1]FBCENC_PartnerAgencies_100725_r!$H$2:$L$561,5,0)</f>
        <v>D1134FP</v>
      </c>
      <c r="F63" t="str">
        <f>VLOOKUP(B63,[1]FBCENC_PartnerAgencies_100725_r!$H$2:$M$561,6,0)</f>
        <v>Saint John's House of Refuge</v>
      </c>
    </row>
    <row r="64" spans="1:6" x14ac:dyDescent="0.2">
      <c r="A64" s="1">
        <v>62</v>
      </c>
      <c r="B64" t="s">
        <v>116</v>
      </c>
      <c r="C64" t="s">
        <v>117</v>
      </c>
      <c r="D64" t="str">
        <f>VLOOKUP(B64,[1]FBCENC_PartnerAgencies_100725_r!$H$2:$K$561,4,0)</f>
        <v>D1135</v>
      </c>
      <c r="E64" t="str">
        <f>VLOOKUP(B64,[1]FBCENC_PartnerAgencies_100725_r!$H$2:$L$561,5,0)</f>
        <v>D1135FP</v>
      </c>
      <c r="F64" t="str">
        <f>VLOOKUP(B64,[1]FBCENC_PartnerAgencies_100725_r!$H$2:$M$561,6,0)</f>
        <v>Saint Joseph AME Church</v>
      </c>
    </row>
    <row r="65" spans="1:6" x14ac:dyDescent="0.2">
      <c r="A65" s="1">
        <v>63</v>
      </c>
      <c r="B65" t="s">
        <v>118</v>
      </c>
      <c r="C65" t="s">
        <v>119</v>
      </c>
      <c r="D65" t="e">
        <f>VLOOKUP(B65,[1]FBCENC_PartnerAgencies_100725_r!$H$2:$K$561,4,0)</f>
        <v>#N/A</v>
      </c>
      <c r="E65" t="e">
        <f>VLOOKUP(B65,[1]FBCENC_PartnerAgencies_100725_r!$H$2:$L$561,5,0)</f>
        <v>#N/A</v>
      </c>
      <c r="F65" t="e">
        <f>VLOOKUP(B65,[1]FBCENC_PartnerAgencies_100725_r!$H$2:$M$561,6,0)</f>
        <v>#N/A</v>
      </c>
    </row>
    <row r="66" spans="1:6" x14ac:dyDescent="0.2">
      <c r="A66" s="1">
        <v>64</v>
      </c>
      <c r="B66" t="s">
        <v>120</v>
      </c>
      <c r="C66" t="s">
        <v>5</v>
      </c>
      <c r="D66" t="str">
        <f>VLOOKUP(B66,[1]FBCENC_PartnerAgencies_100725_r!$H$2:$K$561,4,0)</f>
        <v>D1150</v>
      </c>
      <c r="E66" t="str">
        <f>VLOOKUP(B66,[1]FBCENC_PartnerAgencies_100725_r!$H$2:$L$561,5,0)</f>
        <v>D1150FP</v>
      </c>
      <c r="F66" t="str">
        <f>VLOOKUP(B66,[1]FBCENC_PartnerAgencies_100725_r!$H$2:$M$561,6,0)</f>
        <v>Urban Ministries Food Pantry</v>
      </c>
    </row>
    <row r="67" spans="1:6" x14ac:dyDescent="0.2">
      <c r="A67" s="1">
        <v>65</v>
      </c>
      <c r="B67" t="s">
        <v>121</v>
      </c>
      <c r="C67" t="s">
        <v>122</v>
      </c>
      <c r="D67" t="str">
        <f>VLOOKUP(B67,[1]FBCENC_PartnerAgencies_100725_r!$H$2:$K$561,4,0)</f>
        <v>D1150</v>
      </c>
      <c r="E67" t="str">
        <f>VLOOKUP(B67,[1]FBCENC_PartnerAgencies_100725_r!$H$2:$L$561,5,0)</f>
        <v>D1150SK</v>
      </c>
      <c r="F67" t="str">
        <f>VLOOKUP(B67,[1]FBCENC_PartnerAgencies_100725_r!$H$2:$M$561,6,0)</f>
        <v>Urban Ministries of Durham</v>
      </c>
    </row>
    <row r="68" spans="1:6" x14ac:dyDescent="0.2">
      <c r="A68" s="1">
        <v>66</v>
      </c>
      <c r="B68" t="s">
        <v>123</v>
      </c>
      <c r="C68" t="s">
        <v>124</v>
      </c>
      <c r="D68" t="e">
        <f>VLOOKUP(B68,[1]FBCENC_PartnerAgencies_100725_r!$H$2:$K$561,4,0)</f>
        <v>#N/A</v>
      </c>
      <c r="E68" t="e">
        <f>VLOOKUP(B68,[1]FBCENC_PartnerAgencies_100725_r!$H$2:$L$561,5,0)</f>
        <v>#N/A</v>
      </c>
      <c r="F68" t="e">
        <f>VLOOKUP(B68,[1]FBCENC_PartnerAgencies_100725_r!$H$2:$M$561,6,0)</f>
        <v>#N/A</v>
      </c>
    </row>
    <row r="69" spans="1:6" x14ac:dyDescent="0.2">
      <c r="A69" s="1">
        <v>67</v>
      </c>
      <c r="B69" t="s">
        <v>125</v>
      </c>
      <c r="C69" t="s">
        <v>126</v>
      </c>
      <c r="D69" t="str">
        <f>VLOOKUP(B69,[1]FBCENC_PartnerAgencies_100725_r!$H$2:$K$561,4,0)</f>
        <v>D1157</v>
      </c>
      <c r="E69" t="str">
        <f>VLOOKUP(B69,[1]FBCENC_PartnerAgencies_100725_r!$H$2:$L$561,5,0)</f>
        <v>D1157FP</v>
      </c>
      <c r="F69" t="str">
        <f>VLOOKUP(B69,[1]FBCENC_PartnerAgencies_100725_r!$H$2:$M$561,6,0)</f>
        <v>White Rock Baptist Church</v>
      </c>
    </row>
    <row r="70" spans="1:6" x14ac:dyDescent="0.2">
      <c r="A70" s="1">
        <v>68</v>
      </c>
      <c r="B70" t="s">
        <v>127</v>
      </c>
      <c r="C70" t="s">
        <v>128</v>
      </c>
      <c r="D70" t="str">
        <f>VLOOKUP(B70,[1]FBCENC_PartnerAgencies_100725_r!$H$2:$K$561,4,0)</f>
        <v>D1161</v>
      </c>
      <c r="E70" t="str">
        <f>VLOOKUP(B70,[1]FBCENC_PartnerAgencies_100725_r!$H$2:$L$561,5,0)</f>
        <v>D1161DD</v>
      </c>
      <c r="F70" t="str">
        <f>VLOOKUP(B70,[1]FBCENC_PartnerAgencies_100725_r!$H$2:$M$561,6,0)</f>
        <v>Young Memorial</v>
      </c>
    </row>
    <row r="71" spans="1:6" x14ac:dyDescent="0.2">
      <c r="A71" s="1">
        <v>69</v>
      </c>
      <c r="B71" t="s">
        <v>129</v>
      </c>
      <c r="C71" t="s">
        <v>130</v>
      </c>
      <c r="D71" t="str">
        <f>VLOOKUP(B71,[1]FBCENC_PartnerAgencies_100725_r!$H$2:$K$561,4,0)</f>
        <v>D1162</v>
      </c>
      <c r="E71" t="str">
        <f>VLOOKUP(B71,[1]FBCENC_PartnerAgencies_100725_r!$H$2:$L$561,5,0)</f>
        <v>D1162FP</v>
      </c>
      <c r="F71" t="str">
        <f>VLOOKUP(B71,[1]FBCENC_PartnerAgencies_100725_r!$H$2:$M$561,6,0)</f>
        <v>Zion Christian Center</v>
      </c>
    </row>
    <row r="72" spans="1:6" x14ac:dyDescent="0.2">
      <c r="A72" s="1">
        <v>70</v>
      </c>
      <c r="B72" t="s">
        <v>131</v>
      </c>
      <c r="C72" t="s">
        <v>132</v>
      </c>
      <c r="D72" t="str">
        <f>VLOOKUP(B72,[1]FBCENC_PartnerAgencies_100725_r!$H$2:$K$561,4,0)</f>
        <v>D1165</v>
      </c>
      <c r="E72" t="str">
        <f>VLOOKUP(B72,[1]FBCENC_PartnerAgencies_100725_r!$H$2:$L$561,5,0)</f>
        <v>D1165DD</v>
      </c>
      <c r="F72" t="str">
        <f>VLOOKUP(B72,[1]FBCENC_PartnerAgencies_100725_r!$H$2:$M$561,6,0)</f>
        <v>Calvary UMC</v>
      </c>
    </row>
    <row r="73" spans="1:6" x14ac:dyDescent="0.2">
      <c r="A73" s="1">
        <v>71</v>
      </c>
      <c r="B73" t="s">
        <v>133</v>
      </c>
      <c r="C73" t="s">
        <v>134</v>
      </c>
      <c r="D73" t="str">
        <f>VLOOKUP(B73,[1]FBCENC_PartnerAgencies_100725_r!$H$2:$K$561,4,0)</f>
        <v>D1174</v>
      </c>
      <c r="E73" t="str">
        <f>VLOOKUP(B73,[1]FBCENC_PartnerAgencies_100725_r!$H$2:$L$561,5,0)</f>
        <v>D1174DD</v>
      </c>
      <c r="F73" t="str">
        <f>VLOOKUP(B73,[1]FBCENC_PartnerAgencies_100725_r!$H$2:$M$561,6,0)</f>
        <v>Hurdle Mills</v>
      </c>
    </row>
    <row r="74" spans="1:6" x14ac:dyDescent="0.2">
      <c r="A74" s="1">
        <v>72</v>
      </c>
      <c r="B74" t="s">
        <v>135</v>
      </c>
      <c r="C74" t="s">
        <v>5</v>
      </c>
      <c r="D74" t="str">
        <f>VLOOKUP(B74,[1]FBCENC_PartnerAgencies_100725_r!$H$2:$K$561,4,0)</f>
        <v>D1175</v>
      </c>
      <c r="E74" t="str">
        <f>VLOOKUP(B74,[1]FBCENC_PartnerAgencies_100725_r!$H$2:$L$561,5,0)</f>
        <v>D1175DD</v>
      </c>
      <c r="F74" t="str">
        <f>VLOOKUP(B74,[1]FBCENC_PartnerAgencies_100725_r!$H$2:$M$561,6,0)</f>
        <v>Piney Grove Baptist Church</v>
      </c>
    </row>
    <row r="75" spans="1:6" x14ac:dyDescent="0.2">
      <c r="A75" s="1">
        <v>73</v>
      </c>
      <c r="B75" t="s">
        <v>136</v>
      </c>
      <c r="C75" t="s">
        <v>137</v>
      </c>
      <c r="D75" t="str">
        <f>VLOOKUP(B75,[1]FBCENC_PartnerAgencies_100725_r!$H$2:$K$561,4,0)</f>
        <v>D1183</v>
      </c>
      <c r="E75" t="str">
        <f>VLOOKUP(B75,[1]FBCENC_PartnerAgencies_100725_r!$H$2:$L$561,5,0)</f>
        <v>D1183DD</v>
      </c>
      <c r="F75" t="str">
        <f>VLOOKUP(B75,[1]FBCENC_PartnerAgencies_100725_r!$H$2:$M$561,6,0)</f>
        <v>Hillsborough SDA Church</v>
      </c>
    </row>
    <row r="76" spans="1:6" x14ac:dyDescent="0.2">
      <c r="A76" s="1">
        <v>74</v>
      </c>
      <c r="B76" t="s">
        <v>138</v>
      </c>
      <c r="C76" t="s">
        <v>139</v>
      </c>
      <c r="D76" t="str">
        <f>VLOOKUP(B76,[1]FBCENC_PartnerAgencies_100725_r!$H$2:$K$561,4,0)</f>
        <v>D1188</v>
      </c>
      <c r="E76" t="str">
        <f>VLOOKUP(B76,[1]FBCENC_PartnerAgencies_100725_r!$H$2:$L$561,5,0)</f>
        <v>D1188DD</v>
      </c>
      <c r="F76" t="str">
        <f>VLOOKUP(B76,[1]FBCENC_PartnerAgencies_100725_r!$H$2:$M$561,6,0)</f>
        <v>JEWELS Outreach and Networking</v>
      </c>
    </row>
    <row r="77" spans="1:6" x14ac:dyDescent="0.2">
      <c r="A77" s="1">
        <v>75</v>
      </c>
      <c r="B77" t="s">
        <v>140</v>
      </c>
      <c r="C77" t="s">
        <v>141</v>
      </c>
      <c r="D77" t="str">
        <f>VLOOKUP(B77,[1]FBCENC_PartnerAgencies_100725_r!$H$2:$K$561,4,0)</f>
        <v>D1220</v>
      </c>
      <c r="E77" t="str">
        <f>VLOOKUP(B77,[1]FBCENC_PartnerAgencies_100725_r!$H$2:$L$561,5,0)</f>
        <v>D1220FP</v>
      </c>
      <c r="F77" t="str">
        <f>VLOOKUP(B77,[1]FBCENC_PartnerAgencies_100725_r!$H$2:$M$561,6,0)</f>
        <v>Amity United Methodist Church</v>
      </c>
    </row>
    <row r="78" spans="1:6" x14ac:dyDescent="0.2">
      <c r="A78" s="1">
        <v>76</v>
      </c>
      <c r="B78" t="s">
        <v>142</v>
      </c>
      <c r="C78" t="s">
        <v>143</v>
      </c>
      <c r="D78" t="str">
        <f>VLOOKUP(B78,[1]FBCENC_PartnerAgencies_100725_r!$H$2:$K$561,4,0)</f>
        <v>D1222</v>
      </c>
      <c r="E78" t="str">
        <f>VLOOKUP(B78,[1]FBCENC_PartnerAgencies_100725_r!$H$2:$L$561,5,0)</f>
        <v>D1222DD</v>
      </c>
      <c r="F78" t="str">
        <f>VLOOKUP(B78,[1]FBCENC_PartnerAgencies_100725_r!$H$2:$M$561,6,0)</f>
        <v>Jones Grove Missionary Baptist Church</v>
      </c>
    </row>
    <row r="79" spans="1:6" x14ac:dyDescent="0.2">
      <c r="A79" s="1">
        <v>77</v>
      </c>
      <c r="B79" t="s">
        <v>144</v>
      </c>
      <c r="C79" t="s">
        <v>145</v>
      </c>
      <c r="D79" t="str">
        <f>VLOOKUP(B79,[1]FBCENC_PartnerAgencies_100725_r!$H$2:$K$561,4,0)</f>
        <v>D1222</v>
      </c>
      <c r="E79" t="str">
        <f>VLOOKUP(B79,[1]FBCENC_PartnerAgencies_100725_r!$H$2:$L$561,5,0)</f>
        <v>D1222FP</v>
      </c>
      <c r="F79" t="str">
        <f>VLOOKUP(B79,[1]FBCENC_PartnerAgencies_100725_r!$H$2:$M$561,6,0)</f>
        <v>Jones Grove Missionary Baptist Church</v>
      </c>
    </row>
    <row r="80" spans="1:6" x14ac:dyDescent="0.2">
      <c r="A80" s="1">
        <v>78</v>
      </c>
      <c r="B80" t="s">
        <v>146</v>
      </c>
      <c r="C80" t="s">
        <v>126</v>
      </c>
      <c r="D80" t="str">
        <f>VLOOKUP(B80,[1]FBCENC_PartnerAgencies_100725_r!$H$2:$K$561,4,0)</f>
        <v>D1257</v>
      </c>
      <c r="E80" t="str">
        <f>VLOOKUP(B80,[1]FBCENC_PartnerAgencies_100725_r!$H$2:$L$561,5,0)</f>
        <v>D1257FP</v>
      </c>
      <c r="F80" t="str">
        <f>VLOOKUP(B80,[1]FBCENC_PartnerAgencies_100725_r!$H$2:$M$561,6,0)</f>
        <v>One Love Ministries</v>
      </c>
    </row>
    <row r="81" spans="1:6" x14ac:dyDescent="0.2">
      <c r="A81" s="1">
        <v>79</v>
      </c>
      <c r="B81" t="s">
        <v>147</v>
      </c>
      <c r="C81" t="s">
        <v>148</v>
      </c>
      <c r="D81" t="str">
        <f>VLOOKUP(B81,[1]FBCENC_PartnerAgencies_100725_r!$H$2:$K$561,4,0)</f>
        <v>D1258</v>
      </c>
      <c r="E81" t="str">
        <f>VLOOKUP(B81,[1]FBCENC_PartnerAgencies_100725_r!$H$2:$L$561,5,0)</f>
        <v>D1258DD</v>
      </c>
      <c r="F81" t="str">
        <f>VLOOKUP(B81,[1]FBCENC_PartnerAgencies_100725_r!$H$2:$M$561,6,0)</f>
        <v>Cedar Grove Community Center</v>
      </c>
    </row>
    <row r="82" spans="1:6" x14ac:dyDescent="0.2">
      <c r="A82" s="1">
        <v>80</v>
      </c>
      <c r="B82" t="s">
        <v>149</v>
      </c>
      <c r="C82" t="s">
        <v>150</v>
      </c>
      <c r="D82" t="str">
        <f>VLOOKUP(B82,[1]FBCENC_PartnerAgencies_100725_r!$H$2:$K$561,4,0)</f>
        <v>D1259</v>
      </c>
      <c r="E82" t="str">
        <f>VLOOKUP(B82,[1]FBCENC_PartnerAgencies_100725_r!$H$2:$L$561,5,0)</f>
        <v>D1259DD</v>
      </c>
      <c r="F82" t="str">
        <f>VLOOKUP(B82,[1]FBCENC_PartnerAgencies_100725_r!$H$2:$M$561,6,0)</f>
        <v>Heavenly Manna</v>
      </c>
    </row>
    <row r="83" spans="1:6" x14ac:dyDescent="0.2">
      <c r="A83" s="1">
        <v>81</v>
      </c>
      <c r="B83" t="s">
        <v>131</v>
      </c>
      <c r="C83" t="s">
        <v>132</v>
      </c>
      <c r="D83" t="str">
        <f>VLOOKUP(B83,[1]FBCENC_PartnerAgencies_100725_r!$H$2:$K$561,4,0)</f>
        <v>D1165</v>
      </c>
      <c r="E83" t="str">
        <f>VLOOKUP(B83,[1]FBCENC_PartnerAgencies_100725_r!$H$2:$L$561,5,0)</f>
        <v>D1165DD</v>
      </c>
      <c r="F83" t="str">
        <f>VLOOKUP(B83,[1]FBCENC_PartnerAgencies_100725_r!$H$2:$M$561,6,0)</f>
        <v>Calvary UMC</v>
      </c>
    </row>
    <row r="84" spans="1:6" x14ac:dyDescent="0.2">
      <c r="A84" s="1">
        <v>82</v>
      </c>
      <c r="B84" t="s">
        <v>151</v>
      </c>
      <c r="C84" t="s">
        <v>152</v>
      </c>
      <c r="D84" t="str">
        <f>VLOOKUP(B84,[1]FBCENC_PartnerAgencies_100725_r!$H$2:$K$561,4,0)</f>
        <v>D1263</v>
      </c>
      <c r="E84" t="str">
        <f>VLOOKUP(B84,[1]FBCENC_PartnerAgencies_100725_r!$H$2:$L$561,5,0)</f>
        <v>D1263FP</v>
      </c>
      <c r="F84" t="str">
        <f>VLOOKUP(B84,[1]FBCENC_PartnerAgencies_100725_r!$H$2:$M$561,6,0)</f>
        <v>Bonlee Baptist Church</v>
      </c>
    </row>
    <row r="85" spans="1:6" x14ac:dyDescent="0.2">
      <c r="A85" s="1">
        <v>83</v>
      </c>
      <c r="B85" t="s">
        <v>153</v>
      </c>
      <c r="C85" t="s">
        <v>154</v>
      </c>
      <c r="D85" t="str">
        <f>VLOOKUP(B85,[1]FBCENC_PartnerAgencies_100725_r!$H$2:$K$561,4,0)</f>
        <v>D1265</v>
      </c>
      <c r="E85" t="str">
        <f>VLOOKUP(B85,[1]FBCENC_PartnerAgencies_100725_r!$H$2:$L$561,5,0)</f>
        <v>D1265FP</v>
      </c>
      <c r="F85" t="str">
        <f>VLOOKUP(B85,[1]FBCENC_PartnerAgencies_100725_r!$H$2:$M$561,6,0)</f>
        <v>Orange County DSS</v>
      </c>
    </row>
    <row r="86" spans="1:6" x14ac:dyDescent="0.2">
      <c r="A86" s="1">
        <v>84</v>
      </c>
      <c r="B86" t="s">
        <v>155</v>
      </c>
      <c r="C86" t="s">
        <v>156</v>
      </c>
      <c r="D86" t="str">
        <f>VLOOKUP(B86,[1]FBCENC_PartnerAgencies_100725_r!$H$2:$K$561,4,0)</f>
        <v>D1266</v>
      </c>
      <c r="E86" t="str">
        <f>VLOOKUP(B86,[1]FBCENC_PartnerAgencies_100725_r!$H$2:$L$561,5,0)</f>
        <v>D1266FP</v>
      </c>
      <c r="F86" t="str">
        <f>VLOOKUP(B86,[1]FBCENC_PartnerAgencies_100725_r!$H$2:$M$561,6,0)</f>
        <v>Cook's Chapel Church</v>
      </c>
    </row>
    <row r="87" spans="1:6" x14ac:dyDescent="0.2">
      <c r="A87" s="1">
        <v>85</v>
      </c>
      <c r="B87" t="s">
        <v>157</v>
      </c>
      <c r="C87" t="s">
        <v>158</v>
      </c>
      <c r="D87" t="str">
        <f>VLOOKUP(B87,[1]FBCENC_PartnerAgencies_100725_r!$H$2:$K$561,4,0)</f>
        <v>D1267</v>
      </c>
      <c r="E87" t="str">
        <f>VLOOKUP(B87,[1]FBCENC_PartnerAgencies_100725_r!$H$2:$L$561,5,0)</f>
        <v>D1267DD</v>
      </c>
      <c r="F87" t="str">
        <f>VLOOKUP(B87,[1]FBCENC_PartnerAgencies_100725_r!$H$2:$M$561,6,0)</f>
        <v>Saints Delight United Holy Church</v>
      </c>
    </row>
    <row r="88" spans="1:6" x14ac:dyDescent="0.2">
      <c r="A88" s="1">
        <v>86</v>
      </c>
      <c r="B88" t="s">
        <v>159</v>
      </c>
      <c r="C88" t="s">
        <v>160</v>
      </c>
      <c r="D88" t="str">
        <f>VLOOKUP(B88,[1]FBCENC_PartnerAgencies_100725_r!$H$2:$K$561,4,0)</f>
        <v>D1268</v>
      </c>
      <c r="E88" t="str">
        <f>VLOOKUP(B88,[1]FBCENC_PartnerAgencies_100725_r!$H$2:$L$561,5,0)</f>
        <v>D1268FP</v>
      </c>
      <c r="F88" t="str">
        <f>VLOOKUP(B88,[1]FBCENC_PartnerAgencies_100725_r!$H$2:$M$561,6,0)</f>
        <v>New Hope Granville Missionary Baptist Church</v>
      </c>
    </row>
    <row r="89" spans="1:6" x14ac:dyDescent="0.2">
      <c r="A89" s="1">
        <v>87</v>
      </c>
      <c r="B89" t="s">
        <v>161</v>
      </c>
      <c r="C89" t="s">
        <v>162</v>
      </c>
      <c r="D89" t="str">
        <f>VLOOKUP(B89,[1]FBCENC_PartnerAgencies_100725_r!$H$2:$K$561,4,0)</f>
        <v>D1273</v>
      </c>
      <c r="E89" t="str">
        <f>VLOOKUP(B89,[1]FBCENC_PartnerAgencies_100725_r!$H$2:$L$561,5,0)</f>
        <v>D1273FP</v>
      </c>
      <c r="F89" t="str">
        <f>VLOOKUP(B89,[1]FBCENC_PartnerAgencies_100725_r!$H$2:$M$561,6,0)</f>
        <v>New Home and Durham Missionary Baptist Association</v>
      </c>
    </row>
    <row r="90" spans="1:6" x14ac:dyDescent="0.2">
      <c r="A90" s="1">
        <v>88</v>
      </c>
      <c r="B90" t="s">
        <v>163</v>
      </c>
      <c r="C90" t="s">
        <v>164</v>
      </c>
      <c r="D90" t="str">
        <f>VLOOKUP(B90,[1]FBCENC_PartnerAgencies_100725_r!$H$2:$K$561,4,0)</f>
        <v>D1274</v>
      </c>
      <c r="E90" t="str">
        <f>VLOOKUP(B90,[1]FBCENC_PartnerAgencies_100725_r!$H$2:$L$561,5,0)</f>
        <v>D1274FP</v>
      </c>
      <c r="F90" t="str">
        <f>VLOOKUP(B90,[1]FBCENC_PartnerAgencies_100725_r!$H$2:$M$561,6,0)</f>
        <v>Saint Matthew Missionary Baptist Church</v>
      </c>
    </row>
    <row r="91" spans="1:6" x14ac:dyDescent="0.2">
      <c r="A91" s="1">
        <v>89</v>
      </c>
      <c r="B91" t="s">
        <v>165</v>
      </c>
      <c r="C91" t="s">
        <v>166</v>
      </c>
      <c r="D91" t="str">
        <f>VLOOKUP(B91,[1]FBCENC_PartnerAgencies_100725_r!$H$2:$K$561,4,0)</f>
        <v>D1290</v>
      </c>
      <c r="E91" t="str">
        <f>VLOOKUP(B91,[1]FBCENC_PartnerAgencies_100725_r!$H$2:$L$561,5,0)</f>
        <v>D1290FP</v>
      </c>
      <c r="F91" t="str">
        <f>VLOOKUP(B91,[1]FBCENC_PartnerAgencies_100725_r!$H$2:$M$561,6,0)</f>
        <v>Turning Point Community Development Corporation</v>
      </c>
    </row>
    <row r="92" spans="1:6" x14ac:dyDescent="0.2">
      <c r="A92" s="1">
        <v>90</v>
      </c>
      <c r="B92" t="s">
        <v>167</v>
      </c>
      <c r="C92" t="s">
        <v>168</v>
      </c>
      <c r="D92" t="str">
        <f>VLOOKUP(B92,[1]FBCENC_PartnerAgencies_100725_r!$H$2:$K$561,4,0)</f>
        <v>D1293</v>
      </c>
      <c r="E92" t="str">
        <f>VLOOKUP(B92,[1]FBCENC_PartnerAgencies_100725_r!$H$2:$L$561,5,0)</f>
        <v>D1293FP</v>
      </c>
      <c r="F92" t="str">
        <f>VLOOKUP(B92,[1]FBCENC_PartnerAgencies_100725_r!$H$2:$M$561,6,0)</f>
        <v>Hillside Church Food Pantry</v>
      </c>
    </row>
    <row r="93" spans="1:6" x14ac:dyDescent="0.2">
      <c r="A93" s="1">
        <v>91</v>
      </c>
      <c r="B93" t="s">
        <v>169</v>
      </c>
      <c r="C93" t="s">
        <v>5</v>
      </c>
      <c r="D93" t="str">
        <f>VLOOKUP(B93,[1]FBCENC_PartnerAgencies_100725_r!$H$2:$K$561,4,0)</f>
        <v>D1300</v>
      </c>
      <c r="E93" t="str">
        <f>VLOOKUP(B93,[1]FBCENC_PartnerAgencies_100725_r!$H$2:$L$561,5,0)</f>
        <v>D1300FP</v>
      </c>
      <c r="F93" t="str">
        <f>VLOOKUP(B93,[1]FBCENC_PartnerAgencies_100725_r!$H$2:$M$561,6,0)</f>
        <v>Life Point Church Storehouse</v>
      </c>
    </row>
    <row r="94" spans="1:6" x14ac:dyDescent="0.2">
      <c r="A94" s="1">
        <v>92</v>
      </c>
      <c r="B94" t="s">
        <v>170</v>
      </c>
      <c r="C94" t="s">
        <v>5</v>
      </c>
      <c r="D94" t="str">
        <f>VLOOKUP(B94,[1]FBCENC_PartnerAgencies_100725_r!$H$2:$K$561,4,0)</f>
        <v>D1302</v>
      </c>
      <c r="E94" t="str">
        <f>VLOOKUP(B94,[1]FBCENC_PartnerAgencies_100725_r!$H$2:$L$561,5,0)</f>
        <v>D1302FP</v>
      </c>
      <c r="F94" t="str">
        <f>VLOOKUP(B94,[1]FBCENC_PartnerAgencies_100725_r!$H$2:$M$561,6,0)</f>
        <v>Community Health Coalition</v>
      </c>
    </row>
    <row r="95" spans="1:6" x14ac:dyDescent="0.2">
      <c r="A95" s="1">
        <v>93</v>
      </c>
      <c r="B95" t="s">
        <v>171</v>
      </c>
      <c r="C95" t="s">
        <v>172</v>
      </c>
      <c r="D95" t="str">
        <f>VLOOKUP(B95,[1]FBCENC_PartnerAgencies_100725_r!$H$2:$K$561,4,0)</f>
        <v>D1304</v>
      </c>
      <c r="E95" t="str">
        <f>VLOOKUP(B95,[1]FBCENC_PartnerAgencies_100725_r!$H$2:$L$561,5,0)</f>
        <v>D1304FP</v>
      </c>
      <c r="F95" t="str">
        <f>VLOOKUP(B95,[1]FBCENC_PartnerAgencies_100725_r!$H$2:$M$561,6,0)</f>
        <v>Dream Seekers/Church of the Apostolic Revival Intl</v>
      </c>
    </row>
    <row r="96" spans="1:6" x14ac:dyDescent="0.2">
      <c r="A96" s="1">
        <v>94</v>
      </c>
      <c r="B96" t="s">
        <v>173</v>
      </c>
      <c r="C96" t="s">
        <v>174</v>
      </c>
      <c r="D96" t="str">
        <f>VLOOKUP(B96,[1]FBCENC_PartnerAgencies_100725_r!$H$2:$K$561,4,0)</f>
        <v>D1311</v>
      </c>
      <c r="E96" t="str">
        <f>VLOOKUP(B96,[1]FBCENC_PartnerAgencies_100725_r!$H$2:$L$561,5,0)</f>
        <v>D1311DD</v>
      </c>
      <c r="F96" t="str">
        <f>VLOOKUP(B96,[1]FBCENC_PartnerAgencies_100725_r!$H$2:$M$561,6,0)</f>
        <v>Town of Chapel Hill</v>
      </c>
    </row>
    <row r="97" spans="1:6" x14ac:dyDescent="0.2">
      <c r="A97" s="1">
        <v>95</v>
      </c>
      <c r="B97" t="s">
        <v>175</v>
      </c>
      <c r="C97" t="s">
        <v>176</v>
      </c>
      <c r="D97" t="str">
        <f>VLOOKUP(B97,[1]FBCENC_PartnerAgencies_100725_r!$H$2:$K$561,4,0)</f>
        <v>G1002</v>
      </c>
      <c r="E97" t="str">
        <f>VLOOKUP(B97,[1]FBCENC_PartnerAgencies_100725_r!$H$2:$L$561,5,0)</f>
        <v>G1002MFP</v>
      </c>
      <c r="F97" t="str">
        <f>VLOOKUP(B97,[1]FBCENC_PartnerAgencies_100725_r!$H$2:$M$561,6,0)</f>
        <v>Alpha and Omega Church</v>
      </c>
    </row>
    <row r="98" spans="1:6" x14ac:dyDescent="0.2">
      <c r="A98" s="1">
        <v>96</v>
      </c>
      <c r="B98" t="s">
        <v>177</v>
      </c>
      <c r="C98" t="s">
        <v>178</v>
      </c>
      <c r="D98" t="str">
        <f>VLOOKUP(B98,[1]FBCENC_PartnerAgencies_100725_r!$H$2:$K$561,4,0)</f>
        <v>G1005</v>
      </c>
      <c r="E98" t="str">
        <f>VLOOKUP(B98,[1]FBCENC_PartnerAgencies_100725_r!$H$2:$L$561,5,0)</f>
        <v>G1005FP</v>
      </c>
      <c r="F98" t="str">
        <f>VLOOKUP(B98,[1]FBCENC_PartnerAgencies_100725_r!$H$2:$M$561,6,0)</f>
        <v>An-Nissa 2</v>
      </c>
    </row>
    <row r="99" spans="1:6" x14ac:dyDescent="0.2">
      <c r="A99" s="1">
        <v>97</v>
      </c>
      <c r="B99" t="s">
        <v>179</v>
      </c>
      <c r="C99" t="s">
        <v>180</v>
      </c>
      <c r="D99" t="str">
        <f>VLOOKUP(B99,[1]FBCENC_PartnerAgencies_100725_r!$H$2:$K$561,4,0)</f>
        <v>G1006</v>
      </c>
      <c r="E99" t="str">
        <f>VLOOKUP(B99,[1]FBCENC_PartnerAgencies_100725_r!$H$2:$L$561,5,0)</f>
        <v>G1006FP</v>
      </c>
      <c r="F99" t="str">
        <f>VLOOKUP(B99,[1]FBCENC_PartnerAgencies_100725_r!$H$2:$M$561,6,0)</f>
        <v>Antioch United Holy Church</v>
      </c>
    </row>
    <row r="100" spans="1:6" x14ac:dyDescent="0.2">
      <c r="A100" s="1">
        <v>98</v>
      </c>
      <c r="B100" t="s">
        <v>181</v>
      </c>
      <c r="C100" t="s">
        <v>5</v>
      </c>
      <c r="D100" t="str">
        <f>VLOOKUP(B100,[1]FBCENC_PartnerAgencies_100725_r!$H$2:$K$561,4,0)</f>
        <v>G1008</v>
      </c>
      <c r="E100" t="str">
        <f>VLOOKUP(B100,[1]FBCENC_PartnerAgencies_100725_r!$H$2:$L$561,5,0)</f>
        <v>G1008FP1</v>
      </c>
      <c r="F100" t="str">
        <f>VLOOKUP(B100,[1]FBCENC_PartnerAgencies_100725_r!$H$2:$M$561,6,0)</f>
        <v>Armor of God Christian Church</v>
      </c>
    </row>
    <row r="101" spans="1:6" x14ac:dyDescent="0.2">
      <c r="A101" s="1">
        <v>99</v>
      </c>
      <c r="B101" t="s">
        <v>182</v>
      </c>
      <c r="C101" t="s">
        <v>5</v>
      </c>
      <c r="D101" t="str">
        <f>VLOOKUP(B101,[1]FBCENC_PartnerAgencies_100725_r!$H$2:$K$561,4,0)</f>
        <v>G1010</v>
      </c>
      <c r="E101" t="str">
        <f>VLOOKUP(B101,[1]FBCENC_PartnerAgencies_100725_r!$H$2:$L$561,5,0)</f>
        <v>G1010FP</v>
      </c>
      <c r="F101" t="str">
        <f>VLOOKUP(B101,[1]FBCENC_PartnerAgencies_100725_r!$H$2:$M$561,6,0)</f>
        <v>Ayden Christian Care Center</v>
      </c>
    </row>
    <row r="102" spans="1:6" x14ac:dyDescent="0.2">
      <c r="A102" s="1">
        <v>100</v>
      </c>
      <c r="B102" t="s">
        <v>183</v>
      </c>
      <c r="C102" t="s">
        <v>184</v>
      </c>
      <c r="D102" t="str">
        <f>VLOOKUP(B102,[1]FBCENC_PartnerAgencies_100725_r!$H$2:$K$561,4,0)</f>
        <v>G1018</v>
      </c>
      <c r="E102" t="str">
        <f>VLOOKUP(B102,[1]FBCENC_PartnerAgencies_100725_r!$H$2:$L$561,5,0)</f>
        <v>G1018FP</v>
      </c>
      <c r="F102" t="str">
        <f>VLOOKUP(B102,[1]FBCENC_PartnerAgencies_100725_r!$H$2:$M$561,6,0)</f>
        <v>Bountiful Blessings House of Redemption Inc</v>
      </c>
    </row>
    <row r="103" spans="1:6" x14ac:dyDescent="0.2">
      <c r="A103" s="1">
        <v>101</v>
      </c>
      <c r="B103" t="s">
        <v>185</v>
      </c>
      <c r="C103" t="s">
        <v>186</v>
      </c>
      <c r="D103" t="str">
        <f>VLOOKUP(B103,[1]FBCENC_PartnerAgencies_100725_r!$H$2:$K$561,4,0)</f>
        <v>G1020</v>
      </c>
      <c r="E103" t="str">
        <f>VLOOKUP(B103,[1]FBCENC_PartnerAgencies_100725_r!$H$2:$L$561,5,0)</f>
        <v>G1020FP</v>
      </c>
      <c r="F103" t="str">
        <f>VLOOKUP(B103,[1]FBCENC_PartnerAgencies_100725_r!$H$2:$M$561,6,0)</f>
        <v>Bread of Life</v>
      </c>
    </row>
    <row r="104" spans="1:6" x14ac:dyDescent="0.2">
      <c r="A104" s="1">
        <v>102</v>
      </c>
      <c r="B104" t="s">
        <v>187</v>
      </c>
      <c r="C104" t="s">
        <v>188</v>
      </c>
      <c r="D104" t="str">
        <f>VLOOKUP(B104,[1]FBCENC_PartnerAgencies_100725_r!$H$2:$K$561,4,0)</f>
        <v>G1023</v>
      </c>
      <c r="E104" t="str">
        <f>VLOOKUP(B104,[1]FBCENC_PartnerAgencies_100725_r!$H$2:$L$561,5,0)</f>
        <v>G1023FP</v>
      </c>
      <c r="F104" t="str">
        <f>VLOOKUP(B104,[1]FBCENC_PartnerAgencies_100725_r!$H$2:$M$561,6,0)</f>
        <v>Catholic Charities- Tar River</v>
      </c>
    </row>
    <row r="105" spans="1:6" x14ac:dyDescent="0.2">
      <c r="A105" s="1">
        <v>103</v>
      </c>
      <c r="B105" t="s">
        <v>189</v>
      </c>
      <c r="C105" t="s">
        <v>190</v>
      </c>
      <c r="D105" t="str">
        <f>VLOOKUP(B105,[1]FBCENC_PartnerAgencies_100725_r!$H$2:$K$561,4,0)</f>
        <v>G1024</v>
      </c>
      <c r="E105" t="str">
        <f>VLOOKUP(B105,[1]FBCENC_PartnerAgencies_100725_r!$H$2:$L$561,5,0)</f>
        <v>G1024FP</v>
      </c>
      <c r="F105" t="str">
        <f>VLOOKUP(B105,[1]FBCENC_PartnerAgencies_100725_r!$H$2:$M$561,6,0)</f>
        <v>Christ Deliverance Tabernacle</v>
      </c>
    </row>
    <row r="106" spans="1:6" x14ac:dyDescent="0.2">
      <c r="A106" s="1">
        <v>104</v>
      </c>
      <c r="B106" t="s">
        <v>191</v>
      </c>
      <c r="C106" t="s">
        <v>192</v>
      </c>
      <c r="D106" t="str">
        <f>VLOOKUP(B106,[1]FBCENC_PartnerAgencies_100725_r!$H$2:$K$561,4,0)</f>
        <v>G1025</v>
      </c>
      <c r="E106" t="str">
        <f>VLOOKUP(B106,[1]FBCENC_PartnerAgencies_100725_r!$H$2:$L$561,5,0)</f>
        <v>G1025FP</v>
      </c>
      <c r="F106" t="str">
        <f>VLOOKUP(B106,[1]FBCENC_PartnerAgencies_100725_r!$H$2:$M$561,6,0)</f>
        <v>Christian Fellowship Homes</v>
      </c>
    </row>
    <row r="107" spans="1:6" x14ac:dyDescent="0.2">
      <c r="A107" s="1">
        <v>105</v>
      </c>
      <c r="B107" t="s">
        <v>193</v>
      </c>
      <c r="C107" t="s">
        <v>194</v>
      </c>
      <c r="D107" t="str">
        <f>VLOOKUP(B107,[1]FBCENC_PartnerAgencies_100725_r!$H$2:$K$561,4,0)</f>
        <v>G1027</v>
      </c>
      <c r="E107" t="str">
        <f>VLOOKUP(B107,[1]FBCENC_PartnerAgencies_100725_r!$H$2:$L$561,5,0)</f>
        <v>G1027FP1</v>
      </c>
      <c r="F107" t="str">
        <f>VLOOKUP(B107,[1]FBCENC_PartnerAgencies_100725_r!$H$2:$M$561,6,0)</f>
        <v>Churches Outreach Network</v>
      </c>
    </row>
    <row r="108" spans="1:6" x14ac:dyDescent="0.2">
      <c r="A108" s="1">
        <v>106</v>
      </c>
      <c r="B108" t="s">
        <v>195</v>
      </c>
      <c r="C108" t="s">
        <v>196</v>
      </c>
      <c r="D108" t="str">
        <f>VLOOKUP(B108,[1]FBCENC_PartnerAgencies_100725_r!$H$2:$K$561,4,0)</f>
        <v>G1027</v>
      </c>
      <c r="E108" t="str">
        <f>VLOOKUP(B108,[1]FBCENC_PartnerAgencies_100725_r!$H$2:$L$561,5,0)</f>
        <v>G1027FP3</v>
      </c>
      <c r="F108" t="str">
        <f>VLOOKUP(B108,[1]FBCENC_PartnerAgencies_100725_r!$H$2:$M$561,6,0)</f>
        <v>Churches Outreach Network</v>
      </c>
    </row>
    <row r="109" spans="1:6" x14ac:dyDescent="0.2">
      <c r="A109" s="1">
        <v>107</v>
      </c>
      <c r="B109" t="s">
        <v>197</v>
      </c>
      <c r="C109" t="s">
        <v>198</v>
      </c>
      <c r="D109" t="str">
        <f>VLOOKUP(B109,[1]FBCENC_PartnerAgencies_100725_r!$H$2:$K$561,4,0)</f>
        <v>G1027</v>
      </c>
      <c r="E109" t="str">
        <f>VLOOKUP(B109,[1]FBCENC_PartnerAgencies_100725_r!$H$2:$L$561,5,0)</f>
        <v>G1027FP4</v>
      </c>
      <c r="F109" t="str">
        <f>VLOOKUP(B109,[1]FBCENC_PartnerAgencies_100725_r!$H$2:$M$561,6,0)</f>
        <v>Churches Outreach Network</v>
      </c>
    </row>
    <row r="110" spans="1:6" x14ac:dyDescent="0.2">
      <c r="A110" s="1">
        <v>108</v>
      </c>
      <c r="B110" t="s">
        <v>199</v>
      </c>
      <c r="C110" t="s">
        <v>200</v>
      </c>
      <c r="D110" t="str">
        <f>VLOOKUP(B110,[1]FBCENC_PartnerAgencies_100725_r!$H$2:$K$561,4,0)</f>
        <v>G1027</v>
      </c>
      <c r="E110" t="str">
        <f>VLOOKUP(B110,[1]FBCENC_PartnerAgencies_100725_r!$H$2:$L$561,5,0)</f>
        <v>G1027FP5</v>
      </c>
      <c r="F110" t="str">
        <f>VLOOKUP(B110,[1]FBCENC_PartnerAgencies_100725_r!$H$2:$M$561,6,0)</f>
        <v>Churches Outreach Network</v>
      </c>
    </row>
    <row r="111" spans="1:6" x14ac:dyDescent="0.2">
      <c r="A111" s="1">
        <v>109</v>
      </c>
      <c r="B111" t="s">
        <v>201</v>
      </c>
      <c r="C111" t="s">
        <v>5</v>
      </c>
      <c r="D111" t="str">
        <f>VLOOKUP(B111,[1]FBCENC_PartnerAgencies_100725_r!$H$2:$K$561,4,0)</f>
        <v>G1036</v>
      </c>
      <c r="E111" t="str">
        <f>VLOOKUP(B111,[1]FBCENC_PartnerAgencies_100725_r!$H$2:$L$561,5,0)</f>
        <v>G1036FP</v>
      </c>
      <c r="F111" t="str">
        <f>VLOOKUP(B111,[1]FBCENC_PartnerAgencies_100725_r!$H$2:$M$561,6,0)</f>
        <v>Emmanuel Community Unison Baptist Church</v>
      </c>
    </row>
    <row r="112" spans="1:6" x14ac:dyDescent="0.2">
      <c r="A112" s="1">
        <v>110</v>
      </c>
      <c r="B112" t="s">
        <v>202</v>
      </c>
      <c r="C112" t="s">
        <v>203</v>
      </c>
      <c r="D112" t="e">
        <f>VLOOKUP(B112,[1]FBCENC_PartnerAgencies_100725_r!$H$2:$K$561,4,0)</f>
        <v>#N/A</v>
      </c>
      <c r="E112" t="e">
        <f>VLOOKUP(B112,[1]FBCENC_PartnerAgencies_100725_r!$H$2:$L$561,5,0)</f>
        <v>#N/A</v>
      </c>
      <c r="F112" t="e">
        <f>VLOOKUP(B112,[1]FBCENC_PartnerAgencies_100725_r!$H$2:$M$561,6,0)</f>
        <v>#N/A</v>
      </c>
    </row>
    <row r="113" spans="1:6" x14ac:dyDescent="0.2">
      <c r="A113" s="1">
        <v>111</v>
      </c>
      <c r="B113" t="s">
        <v>204</v>
      </c>
      <c r="C113" t="s">
        <v>205</v>
      </c>
      <c r="D113" t="str">
        <f>VLOOKUP(B113,[1]FBCENC_PartnerAgencies_100725_r!$H$2:$K$561,4,0)</f>
        <v>G1037</v>
      </c>
      <c r="E113" t="str">
        <f>VLOOKUP(B113,[1]FBCENC_PartnerAgencies_100725_r!$H$2:$L$561,5,0)</f>
        <v>G1037MFP</v>
      </c>
      <c r="F113" t="str">
        <f>VLOOKUP(B113,[1]FBCENC_PartnerAgencies_100725_r!$H$2:$M$561,6,0)</f>
        <v>Faith Developmental Community</v>
      </c>
    </row>
    <row r="114" spans="1:6" x14ac:dyDescent="0.2">
      <c r="A114" s="1">
        <v>112</v>
      </c>
      <c r="B114" t="s">
        <v>206</v>
      </c>
      <c r="C114" t="s">
        <v>5</v>
      </c>
      <c r="D114" t="str">
        <f>VLOOKUP(B114,[1]FBCENC_PartnerAgencies_100725_r!$H$2:$K$561,4,0)</f>
        <v>G1039</v>
      </c>
      <c r="E114" t="str">
        <f>VLOOKUP(B114,[1]FBCENC_PartnerAgencies_100725_r!$H$2:$L$561,5,0)</f>
        <v>G1039FP</v>
      </c>
      <c r="F114" t="str">
        <f>VLOOKUP(B114,[1]FBCENC_PartnerAgencies_100725_r!$H$2:$M$561,6,0)</f>
        <v>First Missionary</v>
      </c>
    </row>
    <row r="115" spans="1:6" x14ac:dyDescent="0.2">
      <c r="A115" s="1">
        <v>113</v>
      </c>
      <c r="B115" t="s">
        <v>207</v>
      </c>
      <c r="C115" t="s">
        <v>208</v>
      </c>
      <c r="D115" t="str">
        <f>VLOOKUP(B115,[1]FBCENC_PartnerAgencies_100725_r!$H$2:$K$561,4,0)</f>
        <v>G1041</v>
      </c>
      <c r="E115" t="str">
        <f>VLOOKUP(B115,[1]FBCENC_PartnerAgencies_100725_r!$H$2:$L$561,5,0)</f>
        <v>G1041FP1</v>
      </c>
      <c r="F115" t="str">
        <f>VLOOKUP(B115,[1]FBCENC_PartnerAgencies_100725_r!$H$2:$M$561,6,0)</f>
        <v>Freedom Family Foundation Inc</v>
      </c>
    </row>
    <row r="116" spans="1:6" x14ac:dyDescent="0.2">
      <c r="A116" s="1">
        <v>114</v>
      </c>
      <c r="B116" t="s">
        <v>209</v>
      </c>
      <c r="C116" t="s">
        <v>5</v>
      </c>
      <c r="D116" t="str">
        <f>VLOOKUP(B116,[1]FBCENC_PartnerAgencies_100725_r!$H$2:$K$561,4,0)</f>
        <v>G1044</v>
      </c>
      <c r="E116" t="str">
        <f>VLOOKUP(B116,[1]FBCENC_PartnerAgencies_100725_r!$H$2:$L$561,5,0)</f>
        <v>G1044FP</v>
      </c>
      <c r="F116" t="str">
        <f>VLOOKUP(B116,[1]FBCENC_PartnerAgencies_100725_r!$H$2:$M$561,6,0)</f>
        <v>Greater St Peter</v>
      </c>
    </row>
    <row r="117" spans="1:6" x14ac:dyDescent="0.2">
      <c r="A117" s="1">
        <v>115</v>
      </c>
      <c r="B117" t="s">
        <v>210</v>
      </c>
      <c r="C117" t="s">
        <v>5</v>
      </c>
      <c r="D117" t="str">
        <f>VLOOKUP(B117,[1]FBCENC_PartnerAgencies_100725_r!$H$2:$K$561,4,0)</f>
        <v>G1045</v>
      </c>
      <c r="E117" t="str">
        <f>VLOOKUP(B117,[1]FBCENC_PartnerAgencies_100725_r!$H$2:$L$561,5,0)</f>
        <v>G1045FP</v>
      </c>
      <c r="F117" t="str">
        <f>VLOOKUP(B117,[1]FBCENC_PartnerAgencies_100725_r!$H$2:$M$561,6,0)</f>
        <v>Greene County Interfaith</v>
      </c>
    </row>
    <row r="118" spans="1:6" x14ac:dyDescent="0.2">
      <c r="A118" s="1">
        <v>116</v>
      </c>
      <c r="B118" t="s">
        <v>211</v>
      </c>
      <c r="C118" t="s">
        <v>212</v>
      </c>
      <c r="D118" t="str">
        <f>VLOOKUP(B118,[1]FBCENC_PartnerAgencies_100725_r!$H$2:$K$561,4,0)</f>
        <v>G1048</v>
      </c>
      <c r="E118" t="str">
        <f>VLOOKUP(B118,[1]FBCENC_PartnerAgencies_100725_r!$H$2:$L$561,5,0)</f>
        <v>G1048FP</v>
      </c>
      <c r="F118" t="str">
        <f>VLOOKUP(B118,[1]FBCENC_PartnerAgencies_100725_r!$H$2:$M$561,6,0)</f>
        <v>Grifton Mission Ministries</v>
      </c>
    </row>
    <row r="119" spans="1:6" x14ac:dyDescent="0.2">
      <c r="A119" s="1">
        <v>117</v>
      </c>
      <c r="B119" t="s">
        <v>213</v>
      </c>
      <c r="C119" t="s">
        <v>214</v>
      </c>
      <c r="D119" t="str">
        <f>VLOOKUP(B119,[1]FBCENC_PartnerAgencies_100725_r!$H$2:$K$561,4,0)</f>
        <v>G1050</v>
      </c>
      <c r="E119" t="str">
        <f>VLOOKUP(B119,[1]FBCENC_PartnerAgencies_100725_r!$H$2:$L$561,5,0)</f>
        <v>G1050FP</v>
      </c>
      <c r="F119" t="str">
        <f>VLOOKUP(B119,[1]FBCENC_PartnerAgencies_100725_r!$H$2:$M$561,6,0)</f>
        <v>Hands for Humanity CDC</v>
      </c>
    </row>
    <row r="120" spans="1:6" x14ac:dyDescent="0.2">
      <c r="A120" s="1">
        <v>118</v>
      </c>
      <c r="B120" t="s">
        <v>215</v>
      </c>
      <c r="C120" t="s">
        <v>5</v>
      </c>
      <c r="D120" t="str">
        <f>VLOOKUP(B120,[1]FBCENC_PartnerAgencies_100725_r!$H$2:$K$561,4,0)</f>
        <v>G1053</v>
      </c>
      <c r="E120" t="str">
        <f>VLOOKUP(B120,[1]FBCENC_PartnerAgencies_100725_r!$H$2:$L$561,5,0)</f>
        <v>G1053FP</v>
      </c>
      <c r="F120" t="str">
        <f>VLOOKUP(B120,[1]FBCENC_PartnerAgencies_100725_r!$H$2:$M$561,6,0)</f>
        <v>Hobgood Citizens Group</v>
      </c>
    </row>
    <row r="121" spans="1:6" x14ac:dyDescent="0.2">
      <c r="A121" s="1">
        <v>119</v>
      </c>
      <c r="B121" t="s">
        <v>216</v>
      </c>
      <c r="C121" t="s">
        <v>217</v>
      </c>
      <c r="D121" t="str">
        <f>VLOOKUP(B121,[1]FBCENC_PartnerAgencies_100725_r!$H$2:$K$561,4,0)</f>
        <v>G1057</v>
      </c>
      <c r="E121" t="str">
        <f>VLOOKUP(B121,[1]FBCENC_PartnerAgencies_100725_r!$H$2:$L$561,5,0)</f>
        <v>G1057MFP</v>
      </c>
      <c r="F121" t="str">
        <f>VLOOKUP(B121,[1]FBCENC_PartnerAgencies_100725_r!$H$2:$M$561,6,0)</f>
        <v>Ivory Hill Baptist Church</v>
      </c>
    </row>
    <row r="122" spans="1:6" x14ac:dyDescent="0.2">
      <c r="A122" s="1">
        <v>120</v>
      </c>
      <c r="B122" t="s">
        <v>218</v>
      </c>
      <c r="C122" t="s">
        <v>219</v>
      </c>
      <c r="D122" t="str">
        <f>VLOOKUP(B122,[1]FBCENC_PartnerAgencies_100725_r!$H$2:$K$561,4,0)</f>
        <v>G1058</v>
      </c>
      <c r="E122" t="str">
        <f>VLOOKUP(B122,[1]FBCENC_PartnerAgencies_100725_r!$H$2:$L$561,5,0)</f>
        <v>G1058FP</v>
      </c>
      <c r="F122" t="str">
        <f>VLOOKUP(B122,[1]FBCENC_PartnerAgencies_100725_r!$H$2:$M$561,6,0)</f>
        <v>Joseph Provisions</v>
      </c>
    </row>
    <row r="123" spans="1:6" x14ac:dyDescent="0.2">
      <c r="A123" s="1">
        <v>121</v>
      </c>
      <c r="B123" t="s">
        <v>220</v>
      </c>
      <c r="C123" t="s">
        <v>221</v>
      </c>
      <c r="D123" t="str">
        <f>VLOOKUP(B123,[1]FBCENC_PartnerAgencies_100725_r!$H$2:$K$561,4,0)</f>
        <v>G1060</v>
      </c>
      <c r="E123" t="str">
        <f>VLOOKUP(B123,[1]FBCENC_PartnerAgencies_100725_r!$H$2:$L$561,5,0)</f>
        <v>G1060FP</v>
      </c>
      <c r="F123" t="str">
        <f>VLOOKUP(B123,[1]FBCENC_PartnerAgencies_100725_r!$H$2:$M$561,6,0)</f>
        <v>Kairos Church Ministry</v>
      </c>
    </row>
    <row r="124" spans="1:6" x14ac:dyDescent="0.2">
      <c r="A124" s="1">
        <v>122</v>
      </c>
      <c r="B124" t="s">
        <v>222</v>
      </c>
      <c r="C124" t="s">
        <v>223</v>
      </c>
      <c r="D124" t="str">
        <f>VLOOKUP(B124,[1]FBCENC_PartnerAgencies_100725_r!$H$2:$K$561,4,0)</f>
        <v>G1062</v>
      </c>
      <c r="E124" t="str">
        <f>VLOOKUP(B124,[1]FBCENC_PartnerAgencies_100725_r!$H$2:$L$561,5,0)</f>
        <v>G1062FP</v>
      </c>
      <c r="F124" t="str">
        <f>VLOOKUP(B124,[1]FBCENC_PartnerAgencies_100725_r!$H$2:$M$561,6,0)</f>
        <v>Kingdom Care Inc</v>
      </c>
    </row>
    <row r="125" spans="1:6" x14ac:dyDescent="0.2">
      <c r="A125" s="1">
        <v>123</v>
      </c>
      <c r="B125" t="s">
        <v>224</v>
      </c>
      <c r="C125" t="s">
        <v>225</v>
      </c>
      <c r="D125" t="e">
        <f>VLOOKUP(B125,[1]FBCENC_PartnerAgencies_100725_r!$H$2:$K$561,4,0)</f>
        <v>#N/A</v>
      </c>
      <c r="E125" t="e">
        <f>VLOOKUP(B125,[1]FBCENC_PartnerAgencies_100725_r!$H$2:$L$561,5,0)</f>
        <v>#N/A</v>
      </c>
      <c r="F125" t="e">
        <f>VLOOKUP(B125,[1]FBCENC_PartnerAgencies_100725_r!$H$2:$M$561,6,0)</f>
        <v>#N/A</v>
      </c>
    </row>
    <row r="126" spans="1:6" x14ac:dyDescent="0.2">
      <c r="A126" s="1">
        <v>124</v>
      </c>
      <c r="B126" t="s">
        <v>226</v>
      </c>
      <c r="C126" t="s">
        <v>227</v>
      </c>
      <c r="D126" t="str">
        <f>VLOOKUP(B126,[1]FBCENC_PartnerAgencies_100725_r!$H$2:$K$561,4,0)</f>
        <v>G1066</v>
      </c>
      <c r="E126" t="str">
        <f>VLOOKUP(B126,[1]FBCENC_PartnerAgencies_100725_r!$H$2:$L$561,5,0)</f>
        <v>G1066FP</v>
      </c>
      <c r="F126" t="str">
        <f>VLOOKUP(B126,[1]FBCENC_PartnerAgencies_100725_r!$H$2:$M$561,6,0)</f>
        <v>Living Waters Ministries of</v>
      </c>
    </row>
    <row r="127" spans="1:6" x14ac:dyDescent="0.2">
      <c r="A127" s="1">
        <v>125</v>
      </c>
      <c r="B127" t="s">
        <v>228</v>
      </c>
      <c r="C127" t="s">
        <v>229</v>
      </c>
      <c r="D127" t="str">
        <f>VLOOKUP(B127,[1]FBCENC_PartnerAgencies_100725_r!$H$2:$K$561,4,0)</f>
        <v>G1072</v>
      </c>
      <c r="E127" t="str">
        <f>VLOOKUP(B127,[1]FBCENC_PartnerAgencies_100725_r!$H$2:$L$561,5,0)</f>
        <v>G1072FP</v>
      </c>
      <c r="F127" t="str">
        <f>VLOOKUP(B127,[1]FBCENC_PartnerAgencies_100725_r!$H$2:$M$561,6,0)</f>
        <v>Mount Calvary Grace and Mercy Street Ministry</v>
      </c>
    </row>
    <row r="128" spans="1:6" x14ac:dyDescent="0.2">
      <c r="A128" s="1">
        <v>126</v>
      </c>
      <c r="B128" t="s">
        <v>230</v>
      </c>
      <c r="C128" t="s">
        <v>231</v>
      </c>
      <c r="D128" t="str">
        <f>VLOOKUP(B128,[1]FBCENC_PartnerAgencies_100725_r!$H$2:$K$561,4,0)</f>
        <v>G1073</v>
      </c>
      <c r="E128" t="str">
        <f>VLOOKUP(B128,[1]FBCENC_PartnerAgencies_100725_r!$H$2:$L$561,5,0)</f>
        <v>G1073MFP</v>
      </c>
      <c r="F128" t="str">
        <f>VLOOKUP(B128,[1]FBCENC_PartnerAgencies_100725_r!$H$2:$M$561,6,0)</f>
        <v>NEEDS Center</v>
      </c>
    </row>
    <row r="129" spans="1:6" x14ac:dyDescent="0.2">
      <c r="A129" s="1">
        <v>127</v>
      </c>
      <c r="B129" t="s">
        <v>232</v>
      </c>
      <c r="C129" t="s">
        <v>141</v>
      </c>
      <c r="D129" t="str">
        <f>VLOOKUP(B129,[1]FBCENC_PartnerAgencies_100725_r!$H$2:$K$561,4,0)</f>
        <v>G1075</v>
      </c>
      <c r="E129" t="str">
        <f>VLOOKUP(B129,[1]FBCENC_PartnerAgencies_100725_r!$H$2:$L$561,5,0)</f>
        <v>G1075FP</v>
      </c>
      <c r="F129" t="str">
        <f>VLOOKUP(B129,[1]FBCENC_PartnerAgencies_100725_r!$H$2:$M$561,6,0)</f>
        <v>Mt Moriah Community Church</v>
      </c>
    </row>
    <row r="130" spans="1:6" x14ac:dyDescent="0.2">
      <c r="A130" s="1">
        <v>128</v>
      </c>
      <c r="B130" t="s">
        <v>233</v>
      </c>
      <c r="C130" t="s">
        <v>5</v>
      </c>
      <c r="D130" t="str">
        <f>VLOOKUP(B130,[1]FBCENC_PartnerAgencies_100725_r!$H$2:$K$561,4,0)</f>
        <v>G1080</v>
      </c>
      <c r="E130" t="str">
        <f>VLOOKUP(B130,[1]FBCENC_PartnerAgencies_100725_r!$H$2:$L$561,5,0)</f>
        <v>G1080MFP</v>
      </c>
      <c r="F130" t="str">
        <f>VLOOKUP(B130,[1]FBCENC_PartnerAgencies_100725_r!$H$2:$M$561,6,0)</f>
        <v>Optimal Beginnings Inc</v>
      </c>
    </row>
    <row r="131" spans="1:6" x14ac:dyDescent="0.2">
      <c r="A131" s="1">
        <v>129</v>
      </c>
      <c r="B131" t="s">
        <v>234</v>
      </c>
      <c r="C131" t="s">
        <v>235</v>
      </c>
      <c r="D131" t="str">
        <f>VLOOKUP(B131,[1]FBCENC_PartnerAgencies_100725_r!$H$2:$K$561,4,0)</f>
        <v>G1081</v>
      </c>
      <c r="E131" t="str">
        <f>VLOOKUP(B131,[1]FBCENC_PartnerAgencies_100725_r!$H$2:$L$561,5,0)</f>
        <v>G1081FP</v>
      </c>
      <c r="F131" t="str">
        <f>VLOOKUP(B131,[1]FBCENC_PartnerAgencies_100725_r!$H$2:$M$561,6,0)</f>
        <v>Paradise Christian Center</v>
      </c>
    </row>
    <row r="132" spans="1:6" x14ac:dyDescent="0.2">
      <c r="A132" s="1">
        <v>130</v>
      </c>
      <c r="B132" t="s">
        <v>236</v>
      </c>
      <c r="C132" t="s">
        <v>86</v>
      </c>
      <c r="D132" t="str">
        <f>VLOOKUP(B132,[1]FBCENC_PartnerAgencies_100725_r!$H$2:$K$561,4,0)</f>
        <v>G1082</v>
      </c>
      <c r="E132" t="str">
        <f>VLOOKUP(B132,[1]FBCENC_PartnerAgencies_100725_r!$H$2:$L$561,5,0)</f>
        <v>G1082FP</v>
      </c>
      <c r="F132" t="str">
        <f>VLOOKUP(B132,[1]FBCENC_PartnerAgencies_100725_r!$H$2:$M$561,6,0)</f>
        <v>Pentecostal Temple</v>
      </c>
    </row>
    <row r="133" spans="1:6" x14ac:dyDescent="0.2">
      <c r="A133" s="1">
        <v>131</v>
      </c>
      <c r="B133" t="s">
        <v>237</v>
      </c>
      <c r="C133" t="s">
        <v>238</v>
      </c>
      <c r="D133" t="str">
        <f>VLOOKUP(B133,[1]FBCENC_PartnerAgencies_100725_r!$H$2:$K$561,4,0)</f>
        <v>G1086</v>
      </c>
      <c r="E133" t="str">
        <f>VLOOKUP(B133,[1]FBCENC_PartnerAgencies_100725_r!$H$2:$L$561,5,0)</f>
        <v>G1086FP</v>
      </c>
      <c r="F133" t="str">
        <f>VLOOKUP(B133,[1]FBCENC_PartnerAgencies_100725_r!$H$2:$M$561,6,0)</f>
        <v>Regeneration Development Group, Inc</v>
      </c>
    </row>
    <row r="134" spans="1:6" x14ac:dyDescent="0.2">
      <c r="A134" s="1">
        <v>132</v>
      </c>
      <c r="B134" t="s">
        <v>239</v>
      </c>
      <c r="C134" t="s">
        <v>35</v>
      </c>
      <c r="D134" t="str">
        <f>VLOOKUP(B134,[1]FBCENC_PartnerAgencies_100725_r!$H$2:$K$561,4,0)</f>
        <v>G1087</v>
      </c>
      <c r="E134" t="str">
        <f>VLOOKUP(B134,[1]FBCENC_PartnerAgencies_100725_r!$H$2:$L$561,5,0)</f>
        <v>G1087FP</v>
      </c>
      <c r="F134" t="str">
        <f>VLOOKUP(B134,[1]FBCENC_PartnerAgencies_100725_r!$H$2:$M$561,6,0)</f>
        <v>Rose Hill Free Will Baptist</v>
      </c>
    </row>
    <row r="135" spans="1:6" x14ac:dyDescent="0.2">
      <c r="A135" s="1">
        <v>133</v>
      </c>
      <c r="B135" t="s">
        <v>240</v>
      </c>
      <c r="C135" t="s">
        <v>241</v>
      </c>
      <c r="D135" t="str">
        <f>VLOOKUP(B135,[1]FBCENC_PartnerAgencies_100725_r!$H$2:$K$561,4,0)</f>
        <v>G1089</v>
      </c>
      <c r="E135" t="str">
        <f>VLOOKUP(B135,[1]FBCENC_PartnerAgencies_100725_r!$H$2:$L$561,5,0)</f>
        <v>G1089FP</v>
      </c>
      <c r="F135" t="str">
        <f>VLOOKUP(B135,[1]FBCENC_PartnerAgencies_100725_r!$H$2:$M$561,6,0)</f>
        <v>Saints Delight Church of God in Christ</v>
      </c>
    </row>
    <row r="136" spans="1:6" x14ac:dyDescent="0.2">
      <c r="A136" s="1">
        <v>134</v>
      </c>
      <c r="B136" t="s">
        <v>242</v>
      </c>
      <c r="C136" t="s">
        <v>243</v>
      </c>
      <c r="D136" t="str">
        <f>VLOOKUP(B136,[1]FBCENC_PartnerAgencies_100725_r!$H$2:$K$561,4,0)</f>
        <v>G1090</v>
      </c>
      <c r="E136" t="str">
        <f>VLOOKUP(B136,[1]FBCENC_PartnerAgencies_100725_r!$H$2:$L$561,5,0)</f>
        <v>G1090FP</v>
      </c>
      <c r="F136" t="str">
        <f>VLOOKUP(B136,[1]FBCENC_PartnerAgencies_100725_r!$H$2:$M$561,6,0)</f>
        <v>Salem United Methodist Church</v>
      </c>
    </row>
    <row r="137" spans="1:6" x14ac:dyDescent="0.2">
      <c r="A137" s="1">
        <v>135</v>
      </c>
      <c r="B137" t="s">
        <v>244</v>
      </c>
      <c r="C137" t="s">
        <v>245</v>
      </c>
      <c r="D137" t="str">
        <f>VLOOKUP(B137,[1]FBCENC_PartnerAgencies_100725_r!$H$2:$K$561,4,0)</f>
        <v>G1092</v>
      </c>
      <c r="E137" t="str">
        <f>VLOOKUP(B137,[1]FBCENC_PartnerAgencies_100725_r!$H$2:$L$561,5,0)</f>
        <v>G1092FP</v>
      </c>
      <c r="F137" t="str">
        <f>VLOOKUP(B137,[1]FBCENC_PartnerAgencies_100725_r!$H$2:$M$561,6,0)</f>
        <v>Salvation Army-Greenville</v>
      </c>
    </row>
    <row r="138" spans="1:6" x14ac:dyDescent="0.2">
      <c r="A138" s="1">
        <v>136</v>
      </c>
      <c r="B138" t="s">
        <v>246</v>
      </c>
      <c r="C138" t="s">
        <v>247</v>
      </c>
      <c r="D138" t="str">
        <f>VLOOKUP(B138,[1]FBCENC_PartnerAgencies_100725_r!$H$2:$K$561,4,0)</f>
        <v>G1094</v>
      </c>
      <c r="E138" t="str">
        <f>VLOOKUP(B138,[1]FBCENC_PartnerAgencies_100725_r!$H$2:$L$561,5,0)</f>
        <v>G1094FP</v>
      </c>
      <c r="F138" t="str">
        <f>VLOOKUP(B138,[1]FBCENC_PartnerAgencies_100725_r!$H$2:$M$561,6,0)</f>
        <v>Senior Home Care Services Inc</v>
      </c>
    </row>
    <row r="139" spans="1:6" x14ac:dyDescent="0.2">
      <c r="A139" s="1">
        <v>137</v>
      </c>
      <c r="B139" t="s">
        <v>248</v>
      </c>
      <c r="C139" t="s">
        <v>5</v>
      </c>
      <c r="D139" t="str">
        <f>VLOOKUP(B139,[1]FBCENC_PartnerAgencies_100725_r!$H$2:$K$561,4,0)</f>
        <v>G1097</v>
      </c>
      <c r="E139" t="str">
        <f>VLOOKUP(B139,[1]FBCENC_PartnerAgencies_100725_r!$H$2:$L$561,5,0)</f>
        <v>G1097FP</v>
      </c>
      <c r="F139" t="str">
        <f>VLOOKUP(B139,[1]FBCENC_PartnerAgencies_100725_r!$H$2:$M$561,6,0)</f>
        <v>Saint James United Methodist</v>
      </c>
    </row>
    <row r="140" spans="1:6" x14ac:dyDescent="0.2">
      <c r="A140" s="1">
        <v>138</v>
      </c>
      <c r="B140" t="s">
        <v>249</v>
      </c>
      <c r="C140" t="s">
        <v>250</v>
      </c>
      <c r="D140" t="str">
        <f>VLOOKUP(B140,[1]FBCENC_PartnerAgencies_100725_r!$H$2:$K$561,4,0)</f>
        <v>G1098</v>
      </c>
      <c r="E140" t="str">
        <f>VLOOKUP(B140,[1]FBCENC_PartnerAgencies_100725_r!$H$2:$L$561,5,0)</f>
        <v>G1098FP</v>
      </c>
      <c r="F140" t="str">
        <f>VLOOKUP(B140,[1]FBCENC_PartnerAgencies_100725_r!$H$2:$M$561,6,0)</f>
        <v>Saint Paul's Episcopal Church</v>
      </c>
    </row>
    <row r="141" spans="1:6" x14ac:dyDescent="0.2">
      <c r="A141" s="1">
        <v>139</v>
      </c>
      <c r="B141" t="s">
        <v>251</v>
      </c>
      <c r="C141" t="s">
        <v>9</v>
      </c>
      <c r="D141" t="str">
        <f>VLOOKUP(B141,[1]FBCENC_PartnerAgencies_100725_r!$H$2:$K$561,4,0)</f>
        <v>G1099</v>
      </c>
      <c r="E141" t="str">
        <f>VLOOKUP(B141,[1]FBCENC_PartnerAgencies_100725_r!$H$2:$L$561,5,0)</f>
        <v>G1099FP</v>
      </c>
      <c r="F141" t="str">
        <f>VLOOKUP(B141,[1]FBCENC_PartnerAgencies_100725_r!$H$2:$M$561,6,0)</f>
        <v>Saint Peter Catholic Church</v>
      </c>
    </row>
    <row r="142" spans="1:6" x14ac:dyDescent="0.2">
      <c r="A142" s="1">
        <v>140</v>
      </c>
      <c r="B142" t="s">
        <v>252</v>
      </c>
      <c r="C142" t="s">
        <v>5</v>
      </c>
      <c r="D142" t="str">
        <f>VLOOKUP(B142,[1]FBCENC_PartnerAgencies_100725_r!$H$2:$K$561,4,0)</f>
        <v>G1100</v>
      </c>
      <c r="E142" t="str">
        <f>VLOOKUP(B142,[1]FBCENC_PartnerAgencies_100725_r!$H$2:$L$561,5,0)</f>
        <v>G1100MFP</v>
      </c>
      <c r="F142" t="str">
        <f>VLOOKUP(B142,[1]FBCENC_PartnerAgencies_100725_r!$H$2:$M$561,6,0)</f>
        <v>Saint Marks/ La Guadalupana</v>
      </c>
    </row>
    <row r="143" spans="1:6" x14ac:dyDescent="0.2">
      <c r="A143" s="1">
        <v>141</v>
      </c>
      <c r="B143" t="s">
        <v>253</v>
      </c>
      <c r="C143" t="s">
        <v>254</v>
      </c>
      <c r="D143" t="str">
        <f>VLOOKUP(B143,[1]FBCENC_PartnerAgencies_100725_r!$H$2:$K$561,4,0)</f>
        <v>G1101</v>
      </c>
      <c r="E143" t="str">
        <f>VLOOKUP(B143,[1]FBCENC_PartnerAgencies_100725_r!$H$2:$L$561,5,0)</f>
        <v>G1101FP</v>
      </c>
      <c r="F143" t="str">
        <f>VLOOKUP(B143,[1]FBCENC_PartnerAgencies_100725_r!$H$2:$M$561,6,0)</f>
        <v>Saint Paul Church of Christ</v>
      </c>
    </row>
    <row r="144" spans="1:6" x14ac:dyDescent="0.2">
      <c r="A144" s="1">
        <v>142</v>
      </c>
      <c r="B144" t="s">
        <v>255</v>
      </c>
      <c r="C144" t="s">
        <v>256</v>
      </c>
      <c r="D144" t="str">
        <f>VLOOKUP(B144,[1]FBCENC_PartnerAgencies_100725_r!$H$2:$K$561,4,0)</f>
        <v>G1102</v>
      </c>
      <c r="E144" t="str">
        <f>VLOOKUP(B144,[1]FBCENC_PartnerAgencies_100725_r!$H$2:$L$561,5,0)</f>
        <v>G1102FP</v>
      </c>
      <c r="F144" t="str">
        <f>VLOOKUP(B144,[1]FBCENC_PartnerAgencies_100725_r!$H$2:$M$561,6,0)</f>
        <v>Saint Peter's Development Center</v>
      </c>
    </row>
    <row r="145" spans="1:6" x14ac:dyDescent="0.2">
      <c r="A145" s="1">
        <v>143</v>
      </c>
      <c r="B145" t="s">
        <v>257</v>
      </c>
      <c r="C145" t="s">
        <v>258</v>
      </c>
      <c r="D145" t="str">
        <f>VLOOKUP(B145,[1]FBCENC_PartnerAgencies_100725_r!$H$2:$K$561,4,0)</f>
        <v>G1103</v>
      </c>
      <c r="E145" t="str">
        <f>VLOOKUP(B145,[1]FBCENC_PartnerAgencies_100725_r!$H$2:$L$561,5,0)</f>
        <v>G1103FP</v>
      </c>
      <c r="F145" t="str">
        <f>VLOOKUP(B145,[1]FBCENC_PartnerAgencies_100725_r!$H$2:$M$561,6,0)</f>
        <v>Staton Mill Road Community</v>
      </c>
    </row>
    <row r="146" spans="1:6" x14ac:dyDescent="0.2">
      <c r="A146" s="1">
        <v>144</v>
      </c>
      <c r="B146" t="s">
        <v>259</v>
      </c>
      <c r="C146" t="s">
        <v>260</v>
      </c>
      <c r="D146" t="str">
        <f>VLOOKUP(B146,[1]FBCENC_PartnerAgencies_100725_r!$H$2:$K$561,4,0)</f>
        <v>G1105</v>
      </c>
      <c r="E146" t="str">
        <f>VLOOKUP(B146,[1]FBCENC_PartnerAgencies_100725_r!$H$2:$L$561,5,0)</f>
        <v>G1105FP</v>
      </c>
      <c r="F146" t="str">
        <f>VLOOKUP(B146,[1]FBCENC_PartnerAgencies_100725_r!$H$2:$M$561,6,0)</f>
        <v>Straightway Church</v>
      </c>
    </row>
    <row r="147" spans="1:6" x14ac:dyDescent="0.2">
      <c r="A147" s="1">
        <v>145</v>
      </c>
      <c r="B147" t="s">
        <v>261</v>
      </c>
      <c r="C147" t="s">
        <v>143</v>
      </c>
      <c r="D147" t="str">
        <f>VLOOKUP(B147,[1]FBCENC_PartnerAgencies_100725_r!$H$2:$K$561,4,0)</f>
        <v>G1107</v>
      </c>
      <c r="E147" t="str">
        <f>VLOOKUP(B147,[1]FBCENC_PartnerAgencies_100725_r!$H$2:$L$561,5,0)</f>
        <v>G1107FP</v>
      </c>
      <c r="F147" t="str">
        <f>VLOOKUP(B147,[1]FBCENC_PartnerAgencies_100725_r!$H$2:$M$561,6,0)</f>
        <v>Tabernacle of God Community</v>
      </c>
    </row>
    <row r="148" spans="1:6" x14ac:dyDescent="0.2">
      <c r="A148" s="1">
        <v>146</v>
      </c>
      <c r="B148" t="s">
        <v>262</v>
      </c>
      <c r="C148" t="s">
        <v>263</v>
      </c>
      <c r="D148" t="str">
        <f>VLOOKUP(B148,[1]FBCENC_PartnerAgencies_100725_r!$H$2:$K$561,4,0)</f>
        <v>G1108</v>
      </c>
      <c r="E148" t="str">
        <f>VLOOKUP(B148,[1]FBCENC_PartnerAgencies_100725_r!$H$2:$L$561,5,0)</f>
        <v>G1108FP</v>
      </c>
      <c r="F148" t="str">
        <f>VLOOKUP(B148,[1]FBCENC_PartnerAgencies_100725_r!$H$2:$M$561,6,0)</f>
        <v>Tarboro Community Outreach</v>
      </c>
    </row>
    <row r="149" spans="1:6" x14ac:dyDescent="0.2">
      <c r="A149" s="1">
        <v>147</v>
      </c>
      <c r="B149" t="s">
        <v>264</v>
      </c>
      <c r="C149" t="s">
        <v>265</v>
      </c>
      <c r="D149" t="str">
        <f>VLOOKUP(B149,[1]FBCENC_PartnerAgencies_100725_r!$H$2:$K$561,4,0)</f>
        <v>G1108</v>
      </c>
      <c r="E149" t="str">
        <f>VLOOKUP(B149,[1]FBCENC_PartnerAgencies_100725_r!$H$2:$L$561,5,0)</f>
        <v>G1108MFP</v>
      </c>
      <c r="F149" t="str">
        <f>VLOOKUP(B149,[1]FBCENC_PartnerAgencies_100725_r!$H$2:$M$561,6,0)</f>
        <v>Tarboro Community Outreach</v>
      </c>
    </row>
    <row r="150" spans="1:6" x14ac:dyDescent="0.2">
      <c r="A150" s="1">
        <v>148</v>
      </c>
      <c r="B150" t="s">
        <v>266</v>
      </c>
      <c r="C150" t="s">
        <v>267</v>
      </c>
      <c r="D150" t="str">
        <f>VLOOKUP(B150,[1]FBCENC_PartnerAgencies_100725_r!$H$2:$K$561,4,0)</f>
        <v>G1111</v>
      </c>
      <c r="E150" t="str">
        <f>VLOOKUP(B150,[1]FBCENC_PartnerAgencies_100725_r!$H$2:$L$561,5,0)</f>
        <v>G1111FP</v>
      </c>
      <c r="F150" t="str">
        <f>VLOOKUP(B150,[1]FBCENC_PartnerAgencies_100725_r!$H$2:$M$561,6,0)</f>
        <v>The Anointed Ones Church</v>
      </c>
    </row>
    <row r="151" spans="1:6" x14ac:dyDescent="0.2">
      <c r="A151" s="1">
        <v>149</v>
      </c>
      <c r="B151" t="s">
        <v>268</v>
      </c>
      <c r="C151" t="s">
        <v>269</v>
      </c>
      <c r="D151" t="str">
        <f>VLOOKUP(B151,[1]FBCENC_PartnerAgencies_100725_r!$H$2:$K$561,4,0)</f>
        <v>G1112</v>
      </c>
      <c r="E151" t="str">
        <f>VLOOKUP(B151,[1]FBCENC_PartnerAgencies_100725_r!$H$2:$L$561,5,0)</f>
        <v>G1112FP</v>
      </c>
      <c r="F151" t="str">
        <f>VLOOKUP(B151,[1]FBCENC_PartnerAgencies_100725_r!$H$2:$M$561,6,0)</f>
        <v>The Memorial Baptist Church</v>
      </c>
    </row>
    <row r="152" spans="1:6" x14ac:dyDescent="0.2">
      <c r="A152" s="1">
        <v>150</v>
      </c>
      <c r="B152" t="s">
        <v>270</v>
      </c>
      <c r="C152" t="s">
        <v>143</v>
      </c>
      <c r="D152" t="str">
        <f>VLOOKUP(B152,[1]FBCENC_PartnerAgencies_100725_r!$H$2:$K$561,4,0)</f>
        <v>G1114</v>
      </c>
      <c r="E152" t="str">
        <f>VLOOKUP(B152,[1]FBCENC_PartnerAgencies_100725_r!$H$2:$L$561,5,0)</f>
        <v>G1114FP</v>
      </c>
      <c r="F152" t="str">
        <f>VLOOKUP(B152,[1]FBCENC_PartnerAgencies_100725_r!$H$2:$M$561,6,0)</f>
        <v>The Way of the Cross Outreach</v>
      </c>
    </row>
    <row r="153" spans="1:6" x14ac:dyDescent="0.2">
      <c r="A153" s="1">
        <v>151</v>
      </c>
      <c r="B153" t="s">
        <v>271</v>
      </c>
      <c r="C153" t="s">
        <v>272</v>
      </c>
      <c r="D153" t="str">
        <f>VLOOKUP(B153,[1]FBCENC_PartnerAgencies_100725_r!$H$2:$K$561,4,0)</f>
        <v>G1116</v>
      </c>
      <c r="E153" t="str">
        <f>VLOOKUP(B153,[1]FBCENC_PartnerAgencies_100725_r!$H$2:$L$561,5,0)</f>
        <v>G1116FP</v>
      </c>
      <c r="F153" t="str">
        <f>VLOOKUP(B153,[1]FBCENC_PartnerAgencies_100725_r!$H$2:$M$561,6,0)</f>
        <v>Twilight Missionary Baptist</v>
      </c>
    </row>
    <row r="154" spans="1:6" x14ac:dyDescent="0.2">
      <c r="A154" s="1">
        <v>152</v>
      </c>
      <c r="B154" t="s">
        <v>273</v>
      </c>
      <c r="C154" t="s">
        <v>5</v>
      </c>
      <c r="D154" t="str">
        <f>VLOOKUP(B154,[1]FBCENC_PartnerAgencies_100725_r!$H$2:$K$561,4,0)</f>
        <v>G1117</v>
      </c>
      <c r="E154" t="str">
        <f>VLOOKUP(B154,[1]FBCENC_PartnerAgencies_100725_r!$H$2:$L$561,5,0)</f>
        <v>G1117FP</v>
      </c>
      <c r="F154" t="str">
        <f>VLOOKUP(B154,[1]FBCENC_PartnerAgencies_100725_r!$H$2:$M$561,6,0)</f>
        <v>Union Mission, Inc</v>
      </c>
    </row>
    <row r="155" spans="1:6" x14ac:dyDescent="0.2">
      <c r="A155" s="1">
        <v>153</v>
      </c>
      <c r="B155" t="s">
        <v>274</v>
      </c>
      <c r="C155" t="s">
        <v>5</v>
      </c>
      <c r="D155" t="str">
        <f>VLOOKUP(B155,[1]FBCENC_PartnerAgencies_100725_r!$H$2:$K$561,4,0)</f>
        <v>G1117</v>
      </c>
      <c r="E155" t="str">
        <f>VLOOKUP(B155,[1]FBCENC_PartnerAgencies_100725_r!$H$2:$L$561,5,0)</f>
        <v>G1117SH</v>
      </c>
      <c r="F155" t="str">
        <f>VLOOKUP(B155,[1]FBCENC_PartnerAgencies_100725_r!$H$2:$M$561,6,0)</f>
        <v>Union Mission, Inc</v>
      </c>
    </row>
    <row r="156" spans="1:6" x14ac:dyDescent="0.2">
      <c r="A156" s="1">
        <v>154</v>
      </c>
      <c r="B156" t="s">
        <v>275</v>
      </c>
      <c r="C156" t="s">
        <v>5</v>
      </c>
      <c r="D156" t="str">
        <f>VLOOKUP(B156,[1]FBCENC_PartnerAgencies_100725_r!$H$2:$K$561,4,0)</f>
        <v>G1119</v>
      </c>
      <c r="E156" t="str">
        <f>VLOOKUP(B156,[1]FBCENC_PartnerAgencies_100725_r!$H$2:$L$561,5,0)</f>
        <v>G1119FP</v>
      </c>
      <c r="F156" t="str">
        <f>VLOOKUP(B156,[1]FBCENC_PartnerAgencies_100725_r!$H$2:$M$561,6,0)</f>
        <v>Victory &amp; Dominion</v>
      </c>
    </row>
    <row r="157" spans="1:6" x14ac:dyDescent="0.2">
      <c r="A157" s="1">
        <v>155</v>
      </c>
      <c r="B157" t="s">
        <v>276</v>
      </c>
      <c r="C157" t="s">
        <v>277</v>
      </c>
      <c r="D157" t="str">
        <f>VLOOKUP(B157,[1]FBCENC_PartnerAgencies_100725_r!$H$2:$K$561,4,0)</f>
        <v>G1123</v>
      </c>
      <c r="E157" t="str">
        <f>VLOOKUP(B157,[1]FBCENC_PartnerAgencies_100725_r!$H$2:$L$561,5,0)</f>
        <v>G1123FP</v>
      </c>
      <c r="F157" t="str">
        <f>VLOOKUP(B157,[1]FBCENC_PartnerAgencies_100725_r!$H$2:$M$561,6,0)</f>
        <v>Wilson County Interfaith</v>
      </c>
    </row>
    <row r="158" spans="1:6" x14ac:dyDescent="0.2">
      <c r="A158" s="1">
        <v>156</v>
      </c>
      <c r="B158" t="s">
        <v>278</v>
      </c>
      <c r="C158" t="s">
        <v>279</v>
      </c>
      <c r="D158" t="str">
        <f>VLOOKUP(B158,[1]FBCENC_PartnerAgencies_100725_r!$H$2:$K$561,4,0)</f>
        <v>G1123</v>
      </c>
      <c r="E158" t="str">
        <f>VLOOKUP(B158,[1]FBCENC_PartnerAgencies_100725_r!$H$2:$L$561,5,0)</f>
        <v>G1123MFP</v>
      </c>
      <c r="F158" t="str">
        <f>VLOOKUP(B158,[1]FBCENC_PartnerAgencies_100725_r!$H$2:$M$561,6,0)</f>
        <v>Wilson County Interfaith</v>
      </c>
    </row>
    <row r="159" spans="1:6" x14ac:dyDescent="0.2">
      <c r="A159" s="1">
        <v>157</v>
      </c>
      <c r="B159" t="s">
        <v>280</v>
      </c>
      <c r="C159" t="s">
        <v>5</v>
      </c>
      <c r="D159" t="str">
        <f>VLOOKUP(B159,[1]FBCENC_PartnerAgencies_100725_r!$H$2:$K$561,4,0)</f>
        <v>G1123</v>
      </c>
      <c r="E159" t="str">
        <f>VLOOKUP(B159,[1]FBCENC_PartnerAgencies_100725_r!$H$2:$L$561,5,0)</f>
        <v>G1123SH</v>
      </c>
      <c r="F159" t="str">
        <f>VLOOKUP(B159,[1]FBCENC_PartnerAgencies_100725_r!$H$2:$M$561,6,0)</f>
        <v>Wilson County Interfaith</v>
      </c>
    </row>
    <row r="160" spans="1:6" x14ac:dyDescent="0.2">
      <c r="A160" s="1">
        <v>158</v>
      </c>
      <c r="B160" t="s">
        <v>281</v>
      </c>
      <c r="C160" t="s">
        <v>282</v>
      </c>
      <c r="D160" t="str">
        <f>VLOOKUP(B160,[1]FBCENC_PartnerAgencies_100725_r!$H$2:$K$561,4,0)</f>
        <v>G1124</v>
      </c>
      <c r="E160" t="str">
        <f>VLOOKUP(B160,[1]FBCENC_PartnerAgencies_100725_r!$H$2:$L$561,5,0)</f>
        <v>G1124FP</v>
      </c>
      <c r="F160" t="str">
        <f>VLOOKUP(B160,[1]FBCENC_PartnerAgencies_100725_r!$H$2:$M$561,6,0)</f>
        <v>Word of Truth</v>
      </c>
    </row>
    <row r="161" spans="1:6" x14ac:dyDescent="0.2">
      <c r="A161" s="1">
        <v>159</v>
      </c>
      <c r="B161" t="s">
        <v>283</v>
      </c>
      <c r="C161" t="s">
        <v>92</v>
      </c>
      <c r="D161" t="str">
        <f>VLOOKUP(B161,[1]FBCENC_PartnerAgencies_100725_r!$H$2:$K$561,4,0)</f>
        <v>G1126</v>
      </c>
      <c r="E161" t="str">
        <f>VLOOKUP(B161,[1]FBCENC_PartnerAgencies_100725_r!$H$2:$L$561,5,0)</f>
        <v>G1126FP</v>
      </c>
      <c r="F161" t="str">
        <f>VLOOKUP(B161,[1]FBCENC_PartnerAgencies_100725_r!$H$2:$M$561,6,0)</f>
        <v>You Need Help Outreach</v>
      </c>
    </row>
    <row r="162" spans="1:6" x14ac:dyDescent="0.2">
      <c r="A162" s="1">
        <v>160</v>
      </c>
      <c r="B162" t="s">
        <v>283</v>
      </c>
      <c r="C162" t="s">
        <v>92</v>
      </c>
      <c r="D162" t="str">
        <f>VLOOKUP(B162,[1]FBCENC_PartnerAgencies_100725_r!$H$2:$K$561,4,0)</f>
        <v>G1126</v>
      </c>
      <c r="E162" t="str">
        <f>VLOOKUP(B162,[1]FBCENC_PartnerAgencies_100725_r!$H$2:$L$561,5,0)</f>
        <v>G1126FP</v>
      </c>
      <c r="F162" t="str">
        <f>VLOOKUP(B162,[1]FBCENC_PartnerAgencies_100725_r!$H$2:$M$561,6,0)</f>
        <v>You Need Help Outreach</v>
      </c>
    </row>
    <row r="163" spans="1:6" x14ac:dyDescent="0.2">
      <c r="A163" s="1">
        <v>161</v>
      </c>
      <c r="B163" t="s">
        <v>284</v>
      </c>
      <c r="C163" t="s">
        <v>285</v>
      </c>
      <c r="D163" t="str">
        <f>VLOOKUP(B163,[1]FBCENC_PartnerAgencies_100725_r!$H$2:$K$561,4,0)</f>
        <v>G1219</v>
      </c>
      <c r="E163" t="str">
        <f>VLOOKUP(B163,[1]FBCENC_PartnerAgencies_100725_r!$H$2:$L$561,5,0)</f>
        <v>G1219FP</v>
      </c>
      <c r="F163" t="str">
        <f>VLOOKUP(B163,[1]FBCENC_PartnerAgencies_100725_r!$H$2:$M$561,6,0)</f>
        <v>Spirit &amp; Truth Worship Center</v>
      </c>
    </row>
    <row r="164" spans="1:6" x14ac:dyDescent="0.2">
      <c r="A164" s="1">
        <v>162</v>
      </c>
      <c r="B164" t="s">
        <v>286</v>
      </c>
      <c r="C164" t="s">
        <v>5</v>
      </c>
      <c r="D164" t="str">
        <f>VLOOKUP(B164,[1]FBCENC_PartnerAgencies_100725_r!$H$2:$K$561,4,0)</f>
        <v>G1225</v>
      </c>
      <c r="E164" t="str">
        <f>VLOOKUP(B164,[1]FBCENC_PartnerAgencies_100725_r!$H$2:$L$561,5,0)</f>
        <v>G1225FP</v>
      </c>
      <c r="F164" t="str">
        <f>VLOOKUP(B164,[1]FBCENC_PartnerAgencies_100725_r!$H$2:$M$561,6,0)</f>
        <v>Love N Action Outreach Inc.</v>
      </c>
    </row>
    <row r="165" spans="1:6" x14ac:dyDescent="0.2">
      <c r="A165" s="1">
        <v>163</v>
      </c>
      <c r="B165" t="s">
        <v>287</v>
      </c>
      <c r="C165" t="s">
        <v>288</v>
      </c>
      <c r="D165" t="str">
        <f>VLOOKUP(B165,[1]FBCENC_PartnerAgencies_100725_r!$H$2:$K$561,4,0)</f>
        <v>G1233</v>
      </c>
      <c r="E165" t="str">
        <f>VLOOKUP(B165,[1]FBCENC_PartnerAgencies_100725_r!$H$2:$L$561,5,0)</f>
        <v>G1233FP</v>
      </c>
      <c r="F165" t="str">
        <f>VLOOKUP(B165,[1]FBCENC_PartnerAgencies_100725_r!$H$2:$M$561,6,0)</f>
        <v>Zion Chapel Food Pantry</v>
      </c>
    </row>
    <row r="166" spans="1:6" x14ac:dyDescent="0.2">
      <c r="A166" s="1">
        <v>164</v>
      </c>
      <c r="B166" t="s">
        <v>289</v>
      </c>
      <c r="C166" t="s">
        <v>290</v>
      </c>
      <c r="D166" t="str">
        <f>VLOOKUP(B166,[1]FBCENC_PartnerAgencies_100725_r!$H$2:$K$561,4,0)</f>
        <v>G1237</v>
      </c>
      <c r="E166" t="str">
        <f>VLOOKUP(B166,[1]FBCENC_PartnerAgencies_100725_r!$H$2:$L$561,5,0)</f>
        <v>G1237FP</v>
      </c>
      <c r="F166" t="str">
        <f>VLOOKUP(B166,[1]FBCENC_PartnerAgencies_100725_r!$H$2:$M$561,6,0)</f>
        <v>House of Resurrection</v>
      </c>
    </row>
    <row r="167" spans="1:6" x14ac:dyDescent="0.2">
      <c r="A167" s="1">
        <v>165</v>
      </c>
      <c r="B167" t="s">
        <v>291</v>
      </c>
      <c r="C167" t="s">
        <v>292</v>
      </c>
      <c r="D167" t="str">
        <f>VLOOKUP(B167,[1]FBCENC_PartnerAgencies_100725_r!$H$2:$K$561,4,0)</f>
        <v>G1245</v>
      </c>
      <c r="E167" t="str">
        <f>VLOOKUP(B167,[1]FBCENC_PartnerAgencies_100725_r!$H$2:$L$561,5,0)</f>
        <v>G1245FP3</v>
      </c>
      <c r="F167" t="str">
        <f>VLOOKUP(B167,[1]FBCENC_PartnerAgencies_100725_r!$H$2:$M$561,6,0)</f>
        <v>MrCharity Inc. DBA Beast Philanthropy</v>
      </c>
    </row>
    <row r="168" spans="1:6" x14ac:dyDescent="0.2">
      <c r="A168" s="1">
        <v>166</v>
      </c>
      <c r="B168" t="s">
        <v>293</v>
      </c>
      <c r="C168" t="s">
        <v>294</v>
      </c>
      <c r="D168" t="str">
        <f>VLOOKUP(B168,[1]FBCENC_PartnerAgencies_100725_r!$H$2:$K$561,4,0)</f>
        <v>G1245</v>
      </c>
      <c r="E168" t="str">
        <f>VLOOKUP(B168,[1]FBCENC_PartnerAgencies_100725_r!$H$2:$L$561,5,0)</f>
        <v>G1245FP4</v>
      </c>
      <c r="F168" t="str">
        <f>VLOOKUP(B168,[1]FBCENC_PartnerAgencies_100725_r!$H$2:$M$561,6,0)</f>
        <v>MrCharity Inc. DBA Beast Philanthropy</v>
      </c>
    </row>
    <row r="169" spans="1:6" x14ac:dyDescent="0.2">
      <c r="A169" s="1">
        <v>167</v>
      </c>
      <c r="B169" t="s">
        <v>295</v>
      </c>
      <c r="C169" t="s">
        <v>296</v>
      </c>
      <c r="D169" t="str">
        <f>VLOOKUP(B169,[1]FBCENC_PartnerAgencies_100725_r!$H$2:$K$561,4,0)</f>
        <v>G1246</v>
      </c>
      <c r="E169" t="str">
        <f>VLOOKUP(B169,[1]FBCENC_PartnerAgencies_100725_r!$H$2:$L$561,5,0)</f>
        <v>G1246FP</v>
      </c>
      <c r="F169" t="str">
        <f>VLOOKUP(B169,[1]FBCENC_PartnerAgencies_100725_r!$H$2:$M$561,6,0)</f>
        <v>Rhema Word Christian Center/Wilson</v>
      </c>
    </row>
    <row r="170" spans="1:6" x14ac:dyDescent="0.2">
      <c r="A170" s="1">
        <v>168</v>
      </c>
      <c r="B170" t="s">
        <v>297</v>
      </c>
      <c r="C170" t="s">
        <v>29</v>
      </c>
      <c r="D170" t="str">
        <f>VLOOKUP(B170,[1]FBCENC_PartnerAgencies_100725_r!$H$2:$K$561,4,0)</f>
        <v>G1247</v>
      </c>
      <c r="E170" t="str">
        <f>VLOOKUP(B170,[1]FBCENC_PartnerAgencies_100725_r!$H$2:$L$561,5,0)</f>
        <v>G1247FP</v>
      </c>
      <c r="F170" t="str">
        <f>VLOOKUP(B170,[1]FBCENC_PartnerAgencies_100725_r!$H$2:$M$561,6,0)</f>
        <v>Last Days Tabernacle</v>
      </c>
    </row>
    <row r="171" spans="1:6" x14ac:dyDescent="0.2">
      <c r="A171" s="1">
        <v>169</v>
      </c>
      <c r="B171" t="s">
        <v>298</v>
      </c>
      <c r="C171" t="s">
        <v>299</v>
      </c>
      <c r="D171" t="str">
        <f>VLOOKUP(B171,[1]FBCENC_PartnerAgencies_100725_r!$H$2:$K$561,4,0)</f>
        <v>G1249</v>
      </c>
      <c r="E171" t="str">
        <f>VLOOKUP(B171,[1]FBCENC_PartnerAgencies_100725_r!$H$2:$L$561,5,0)</f>
        <v>G1249FP</v>
      </c>
      <c r="F171" t="str">
        <f>VLOOKUP(B171,[1]FBCENC_PartnerAgencies_100725_r!$H$2:$M$561,6,0)</f>
        <v>Triumph Missionary Baptist Church</v>
      </c>
    </row>
    <row r="172" spans="1:6" x14ac:dyDescent="0.2">
      <c r="A172" s="1">
        <v>170</v>
      </c>
      <c r="B172" t="s">
        <v>300</v>
      </c>
      <c r="C172" t="s">
        <v>301</v>
      </c>
      <c r="D172" t="str">
        <f>VLOOKUP(B172,[1]FBCENC_PartnerAgencies_100725_r!$H$2:$K$561,4,0)</f>
        <v>G1252</v>
      </c>
      <c r="E172" t="str">
        <f>VLOOKUP(B172,[1]FBCENC_PartnerAgencies_100725_r!$H$2:$L$561,5,0)</f>
        <v>G1252FP</v>
      </c>
      <c r="F172" t="str">
        <f>VLOOKUP(B172,[1]FBCENC_PartnerAgencies_100725_r!$H$2:$M$561,6,0)</f>
        <v>Cornerstone Missionary Baptist Church</v>
      </c>
    </row>
    <row r="173" spans="1:6" x14ac:dyDescent="0.2">
      <c r="A173" s="1">
        <v>171</v>
      </c>
      <c r="B173" t="s">
        <v>302</v>
      </c>
      <c r="C173" t="s">
        <v>303</v>
      </c>
      <c r="D173" t="str">
        <f>VLOOKUP(B173,[1]FBCENC_PartnerAgencies_100725_r!$H$2:$K$561,4,0)</f>
        <v>G1253</v>
      </c>
      <c r="E173" t="str">
        <f>VLOOKUP(B173,[1]FBCENC_PartnerAgencies_100725_r!$H$2:$L$561,5,0)</f>
        <v>G1253FP</v>
      </c>
      <c r="F173" t="str">
        <f>VLOOKUP(B173,[1]FBCENC_PartnerAgencies_100725_r!$H$2:$M$561,6,0)</f>
        <v>Macedonia Church of Lenoir County</v>
      </c>
    </row>
    <row r="174" spans="1:6" x14ac:dyDescent="0.2">
      <c r="A174" s="1">
        <v>172</v>
      </c>
      <c r="B174" t="s">
        <v>304</v>
      </c>
      <c r="C174" t="s">
        <v>305</v>
      </c>
      <c r="D174" t="str">
        <f>VLOOKUP(B174,[1]FBCENC_PartnerAgencies_100725_r!$H$2:$K$561,4,0)</f>
        <v>G1254</v>
      </c>
      <c r="E174" t="str">
        <f>VLOOKUP(B174,[1]FBCENC_PartnerAgencies_100725_r!$H$2:$L$561,5,0)</f>
        <v>G1254FP</v>
      </c>
      <c r="F174" t="str">
        <f>VLOOKUP(B174,[1]FBCENC_PartnerAgencies_100725_r!$H$2:$M$561,6,0)</f>
        <v>Greater Judah Corporation</v>
      </c>
    </row>
    <row r="175" spans="1:6" x14ac:dyDescent="0.2">
      <c r="A175" s="1">
        <v>173</v>
      </c>
      <c r="B175" t="s">
        <v>306</v>
      </c>
      <c r="C175" t="s">
        <v>307</v>
      </c>
      <c r="D175" t="str">
        <f>VLOOKUP(B175,[1]FBCENC_PartnerAgencies_100725_r!$H$2:$K$561,4,0)</f>
        <v>G1259</v>
      </c>
      <c r="E175" t="str">
        <f>VLOOKUP(B175,[1]FBCENC_PartnerAgencies_100725_r!$H$2:$L$561,5,0)</f>
        <v>G1259FP</v>
      </c>
      <c r="F175" t="str">
        <f>VLOOKUP(B175,[1]FBCENC_PartnerAgencies_100725_r!$H$2:$M$561,6,0)</f>
        <v>NC Seeds of Love</v>
      </c>
    </row>
    <row r="176" spans="1:6" x14ac:dyDescent="0.2">
      <c r="A176" s="1">
        <v>174</v>
      </c>
      <c r="B176" t="s">
        <v>308</v>
      </c>
      <c r="C176" t="s">
        <v>309</v>
      </c>
      <c r="D176" t="str">
        <f>VLOOKUP(B176,[1]FBCENC_PartnerAgencies_100725_r!$H$2:$K$561,4,0)</f>
        <v>G1260</v>
      </c>
      <c r="E176" t="str">
        <f>VLOOKUP(B176,[1]FBCENC_PartnerAgencies_100725_r!$H$2:$L$561,5,0)</f>
        <v>G1260FP</v>
      </c>
      <c r="F176" t="str">
        <f>VLOOKUP(B176,[1]FBCENC_PartnerAgencies_100725_r!$H$2:$M$561,6,0)</f>
        <v>Wilson Chapel Free Will Baptist Church</v>
      </c>
    </row>
    <row r="177" spans="1:6" x14ac:dyDescent="0.2">
      <c r="A177" s="1">
        <v>175</v>
      </c>
      <c r="B177" t="s">
        <v>310</v>
      </c>
      <c r="C177" t="s">
        <v>5</v>
      </c>
      <c r="D177" t="str">
        <f>VLOOKUP(B177,[1]FBCENC_PartnerAgencies_100725_r!$H$2:$K$561,4,0)</f>
        <v>G1261</v>
      </c>
      <c r="E177" t="str">
        <f>VLOOKUP(B177,[1]FBCENC_PartnerAgencies_100725_r!$H$2:$L$561,5,0)</f>
        <v>G1261FP</v>
      </c>
      <c r="F177" t="str">
        <f>VLOOKUP(B177,[1]FBCENC_PartnerAgencies_100725_r!$H$2:$M$561,6,0)</f>
        <v>First Christian Church</v>
      </c>
    </row>
    <row r="178" spans="1:6" x14ac:dyDescent="0.2">
      <c r="A178" s="1">
        <v>176</v>
      </c>
      <c r="B178" t="s">
        <v>311</v>
      </c>
      <c r="C178" t="s">
        <v>5</v>
      </c>
      <c r="D178" t="str">
        <f>VLOOKUP(B178,[1]FBCENC_PartnerAgencies_100725_r!$H$2:$K$561,4,0)</f>
        <v>N1001</v>
      </c>
      <c r="E178" t="str">
        <f>VLOOKUP(B178,[1]FBCENC_PartnerAgencies_100725_r!$H$2:$L$561,5,0)</f>
        <v>N1001FP</v>
      </c>
      <c r="F178" t="str">
        <f>VLOOKUP(B178,[1]FBCENC_PartnerAgencies_100725_r!$H$2:$M$561,6,0)</f>
        <v>Abundant Life International</v>
      </c>
    </row>
    <row r="179" spans="1:6" x14ac:dyDescent="0.2">
      <c r="A179" s="1">
        <v>177</v>
      </c>
      <c r="B179" t="s">
        <v>312</v>
      </c>
      <c r="C179" t="s">
        <v>313</v>
      </c>
      <c r="D179" t="str">
        <f>VLOOKUP(B179,[1]FBCENC_PartnerAgencies_100725_r!$H$2:$K$561,4,0)</f>
        <v>N1002</v>
      </c>
      <c r="E179" t="str">
        <f>VLOOKUP(B179,[1]FBCENC_PartnerAgencies_100725_r!$H$2:$L$561,5,0)</f>
        <v>N1002FP</v>
      </c>
      <c r="F179" t="str">
        <f>VLOOKUP(B179,[1]FBCENC_PartnerAgencies_100725_r!$H$2:$M$561,6,0)</f>
        <v>Abundant Life Miracle Center</v>
      </c>
    </row>
    <row r="180" spans="1:6" x14ac:dyDescent="0.2">
      <c r="A180" s="1">
        <v>178</v>
      </c>
      <c r="B180" t="s">
        <v>312</v>
      </c>
      <c r="C180" t="s">
        <v>313</v>
      </c>
      <c r="D180" t="str">
        <f>VLOOKUP(B180,[1]FBCENC_PartnerAgencies_100725_r!$H$2:$K$561,4,0)</f>
        <v>N1002</v>
      </c>
      <c r="E180" t="str">
        <f>VLOOKUP(B180,[1]FBCENC_PartnerAgencies_100725_r!$H$2:$L$561,5,0)</f>
        <v>N1002FP</v>
      </c>
      <c r="F180" t="str">
        <f>VLOOKUP(B180,[1]FBCENC_PartnerAgencies_100725_r!$H$2:$M$561,6,0)</f>
        <v>Abundant Life Miracle Center</v>
      </c>
    </row>
    <row r="181" spans="1:6" x14ac:dyDescent="0.2">
      <c r="A181" s="1">
        <v>179</v>
      </c>
      <c r="B181" t="s">
        <v>314</v>
      </c>
      <c r="C181" t="s">
        <v>315</v>
      </c>
      <c r="D181" t="str">
        <f>VLOOKUP(B181,[1]FBCENC_PartnerAgencies_100725_r!$H$2:$K$561,4,0)</f>
        <v>N1004</v>
      </c>
      <c r="E181" t="str">
        <f>VLOOKUP(B181,[1]FBCENC_PartnerAgencies_100725_r!$H$2:$L$561,5,0)</f>
        <v>N1004FP</v>
      </c>
      <c r="F181" t="str">
        <f>VLOOKUP(B181,[1]FBCENC_PartnerAgencies_100725_r!$H$2:$M$561,6,0)</f>
        <v>Adelphia CDC Inc - Piney Grove AME Zion Church</v>
      </c>
    </row>
    <row r="182" spans="1:6" x14ac:dyDescent="0.2">
      <c r="A182" s="1">
        <v>180</v>
      </c>
      <c r="B182" t="s">
        <v>316</v>
      </c>
      <c r="C182" t="s">
        <v>5</v>
      </c>
      <c r="D182" t="str">
        <f>VLOOKUP(B182,[1]FBCENC_PartnerAgencies_100725_r!$H$2:$K$561,4,0)</f>
        <v>N1004</v>
      </c>
      <c r="E182" t="str">
        <f>VLOOKUP(B182,[1]FBCENC_PartnerAgencies_100725_r!$H$2:$L$561,5,0)</f>
        <v>N1004FP2</v>
      </c>
      <c r="F182" t="str">
        <f>VLOOKUP(B182,[1]FBCENC_PartnerAgencies_100725_r!$H$2:$M$561,6,0)</f>
        <v>Adelphia CDC Inc - Midway Park</v>
      </c>
    </row>
    <row r="183" spans="1:6" x14ac:dyDescent="0.2">
      <c r="A183" s="1">
        <v>181</v>
      </c>
      <c r="B183" t="s">
        <v>317</v>
      </c>
      <c r="C183" t="s">
        <v>318</v>
      </c>
      <c r="D183" t="str">
        <f>VLOOKUP(B183,[1]FBCENC_PartnerAgencies_100725_r!$H$2:$K$561,4,0)</f>
        <v>N1004</v>
      </c>
      <c r="E183" t="str">
        <f>VLOOKUP(B183,[1]FBCENC_PartnerAgencies_100725_r!$H$2:$L$561,5,0)</f>
        <v>N1004MFP2</v>
      </c>
      <c r="F183" t="str">
        <f>VLOOKUP(B183,[1]FBCENC_PartnerAgencies_100725_r!$H$2:$M$561,6,0)</f>
        <v>Adelphia CDC Inc - St Mark</v>
      </c>
    </row>
    <row r="184" spans="1:6" x14ac:dyDescent="0.2">
      <c r="A184" s="1">
        <v>182</v>
      </c>
      <c r="B184" t="s">
        <v>319</v>
      </c>
      <c r="C184" t="s">
        <v>320</v>
      </c>
      <c r="D184" t="str">
        <f>VLOOKUP(B184,[1]FBCENC_PartnerAgencies_100725_r!$H$2:$K$561,4,0)</f>
        <v>N1004</v>
      </c>
      <c r="E184" t="str">
        <f>VLOOKUP(B184,[1]FBCENC_PartnerAgencies_100725_r!$H$2:$L$561,5,0)</f>
        <v>N1004MPF3</v>
      </c>
      <c r="F184" t="str">
        <f>VLOOKUP(B184,[1]FBCENC_PartnerAgencies_100725_r!$H$2:$M$561,6,0)</f>
        <v>Adelphia CDC Inc - Wesley Chapel</v>
      </c>
    </row>
    <row r="185" spans="1:6" x14ac:dyDescent="0.2">
      <c r="A185" s="1">
        <v>183</v>
      </c>
      <c r="B185" t="s">
        <v>321</v>
      </c>
      <c r="C185" t="s">
        <v>322</v>
      </c>
      <c r="D185" t="str">
        <f>VLOOKUP(B185,[1]FBCENC_PartnerAgencies_100725_r!$H$2:$K$561,4,0)</f>
        <v>N1006</v>
      </c>
      <c r="E185" t="str">
        <f>VLOOKUP(B185,[1]FBCENC_PartnerAgencies_100725_r!$H$2:$L$561,5,0)</f>
        <v>N1006FP</v>
      </c>
      <c r="F185" t="str">
        <f>VLOOKUP(B185,[1]FBCENC_PartnerAgencies_100725_r!$H$2:$M$561,6,0)</f>
        <v>Antioch Community Outreach Inc</v>
      </c>
    </row>
    <row r="186" spans="1:6" x14ac:dyDescent="0.2">
      <c r="A186" s="1">
        <v>184</v>
      </c>
      <c r="B186" t="s">
        <v>323</v>
      </c>
      <c r="C186" t="s">
        <v>324</v>
      </c>
      <c r="D186" t="str">
        <f>VLOOKUP(B186,[1]FBCENC_PartnerAgencies_100725_r!$H$2:$K$561,4,0)</f>
        <v>N1011</v>
      </c>
      <c r="E186" t="str">
        <f>VLOOKUP(B186,[1]FBCENC_PartnerAgencies_100725_r!$H$2:$L$561,5,0)</f>
        <v>N1011FP</v>
      </c>
      <c r="F186" t="str">
        <f>VLOOKUP(B186,[1]FBCENC_PartnerAgencies_100725_r!$H$2:$M$561,6,0)</f>
        <v>Word of God Christian Center</v>
      </c>
    </row>
    <row r="187" spans="1:6" x14ac:dyDescent="0.2">
      <c r="A187" s="1">
        <v>185</v>
      </c>
      <c r="B187" t="s">
        <v>325</v>
      </c>
      <c r="C187" t="s">
        <v>5</v>
      </c>
      <c r="D187" t="str">
        <f>VLOOKUP(B187,[1]FBCENC_PartnerAgencies_100725_r!$H$2:$K$561,4,0)</f>
        <v>N1014</v>
      </c>
      <c r="E187" t="str">
        <f>VLOOKUP(B187,[1]FBCENC_PartnerAgencies_100725_r!$H$2:$L$561,5,0)</f>
        <v>N1014FP</v>
      </c>
      <c r="F187" t="str">
        <f>VLOOKUP(B187,[1]FBCENC_PartnerAgencies_100725_r!$H$2:$M$561,6,0)</f>
        <v>Calvary Baptist Church</v>
      </c>
    </row>
    <row r="188" spans="1:6" x14ac:dyDescent="0.2">
      <c r="A188" s="1">
        <v>186</v>
      </c>
      <c r="B188" t="s">
        <v>326</v>
      </c>
      <c r="C188" t="s">
        <v>327</v>
      </c>
      <c r="D188" t="str">
        <f>VLOOKUP(B188,[1]FBCENC_PartnerAgencies_100725_r!$H$2:$K$561,4,0)</f>
        <v>N1014</v>
      </c>
      <c r="E188" t="str">
        <f>VLOOKUP(B188,[1]FBCENC_PartnerAgencies_100725_r!$H$2:$L$561,5,0)</f>
        <v>N1014MFP</v>
      </c>
      <c r="F188" t="str">
        <f>VLOOKUP(B188,[1]FBCENC_PartnerAgencies_100725_r!$H$2:$M$561,6,0)</f>
        <v>Calvary Baptist Church</v>
      </c>
    </row>
    <row r="189" spans="1:6" x14ac:dyDescent="0.2">
      <c r="A189" s="1">
        <v>187</v>
      </c>
      <c r="B189" t="s">
        <v>328</v>
      </c>
      <c r="C189" t="s">
        <v>329</v>
      </c>
      <c r="D189" t="str">
        <f>VLOOKUP(B189,[1]FBCENC_PartnerAgencies_100725_r!$H$2:$K$561,4,0)</f>
        <v>N1024</v>
      </c>
      <c r="E189" t="str">
        <f>VLOOKUP(B189,[1]FBCENC_PartnerAgencies_100725_r!$H$2:$L$561,5,0)</f>
        <v>N1024MFP</v>
      </c>
      <c r="F189" t="str">
        <f>VLOOKUP(B189,[1]FBCENC_PartnerAgencies_100725_r!$H$2:$M$561,6,0)</f>
        <v>First United Methodist Church</v>
      </c>
    </row>
    <row r="190" spans="1:6" x14ac:dyDescent="0.2">
      <c r="A190" s="1">
        <v>188</v>
      </c>
      <c r="B190" t="s">
        <v>330</v>
      </c>
      <c r="C190" t="s">
        <v>5</v>
      </c>
      <c r="D190" t="str">
        <f>VLOOKUP(B190,[1]FBCENC_PartnerAgencies_100725_r!$H$2:$K$561,4,0)</f>
        <v>N1026</v>
      </c>
      <c r="E190" t="str">
        <f>VLOOKUP(B190,[1]FBCENC_PartnerAgencies_100725_r!$H$2:$L$561,5,0)</f>
        <v>N1026FP</v>
      </c>
      <c r="F190" t="str">
        <f>VLOOKUP(B190,[1]FBCENC_PartnerAgencies_100725_r!$H$2:$M$561,6,0)</f>
        <v>Folkstone Original Free Will</v>
      </c>
    </row>
    <row r="191" spans="1:6" x14ac:dyDescent="0.2">
      <c r="A191" s="1">
        <v>189</v>
      </c>
      <c r="B191" t="s">
        <v>331</v>
      </c>
      <c r="C191" t="s">
        <v>141</v>
      </c>
      <c r="D191" t="str">
        <f>VLOOKUP(B191,[1]FBCENC_PartnerAgencies_100725_r!$H$2:$K$561,4,0)</f>
        <v>N1030</v>
      </c>
      <c r="E191" t="str">
        <f>VLOOKUP(B191,[1]FBCENC_PartnerAgencies_100725_r!$H$2:$L$561,5,0)</f>
        <v>N1030FP</v>
      </c>
      <c r="F191" t="str">
        <f>VLOOKUP(B191,[1]FBCENC_PartnerAgencies_100725_r!$H$2:$M$561,6,0)</f>
        <v>God's City of Refuge Inc</v>
      </c>
    </row>
    <row r="192" spans="1:6" x14ac:dyDescent="0.2">
      <c r="A192" s="1">
        <v>190</v>
      </c>
      <c r="B192" t="s">
        <v>332</v>
      </c>
      <c r="C192" t="s">
        <v>333</v>
      </c>
      <c r="D192" t="str">
        <f>VLOOKUP(B192,[1]FBCENC_PartnerAgencies_100725_r!$H$2:$K$561,4,0)</f>
        <v>N1031</v>
      </c>
      <c r="E192" t="str">
        <f>VLOOKUP(B192,[1]FBCENC_PartnerAgencies_100725_r!$H$2:$L$561,5,0)</f>
        <v>N1031FP</v>
      </c>
      <c r="F192" t="str">
        <f>VLOOKUP(B192,[1]FBCENC_PartnerAgencies_100725_r!$H$2:$M$561,6,0)</f>
        <v>Havelock Cherry Point</v>
      </c>
    </row>
    <row r="193" spans="1:6" x14ac:dyDescent="0.2">
      <c r="A193" s="1">
        <v>191</v>
      </c>
      <c r="B193" t="s">
        <v>334</v>
      </c>
      <c r="C193" t="s">
        <v>335</v>
      </c>
      <c r="D193" t="str">
        <f>VLOOKUP(B193,[1]FBCENC_PartnerAgencies_100725_r!$H$2:$K$561,4,0)</f>
        <v>N1034</v>
      </c>
      <c r="E193" t="str">
        <f>VLOOKUP(B193,[1]FBCENC_PartnerAgencies_100725_r!$H$2:$L$561,5,0)</f>
        <v>N1034FP</v>
      </c>
      <c r="F193" t="str">
        <f>VLOOKUP(B193,[1]FBCENC_PartnerAgencies_100725_r!$H$2:$M$561,6,0)</f>
        <v>Iglesia de Dios Pentecostal</v>
      </c>
    </row>
    <row r="194" spans="1:6" x14ac:dyDescent="0.2">
      <c r="A194" s="1">
        <v>192</v>
      </c>
      <c r="B194" t="s">
        <v>336</v>
      </c>
      <c r="C194" t="s">
        <v>337</v>
      </c>
      <c r="D194" t="str">
        <f>VLOOKUP(B194,[1]FBCENC_PartnerAgencies_100725_r!$H$2:$K$561,4,0)</f>
        <v>N1038</v>
      </c>
      <c r="E194" t="str">
        <f>VLOOKUP(B194,[1]FBCENC_PartnerAgencies_100725_r!$H$2:$L$561,5,0)</f>
        <v>N1038FP</v>
      </c>
      <c r="F194" t="str">
        <f>VLOOKUP(B194,[1]FBCENC_PartnerAgencies_100725_r!$H$2:$M$561,6,0)</f>
        <v>JT Kerr Memorial Baptist</v>
      </c>
    </row>
    <row r="195" spans="1:6" x14ac:dyDescent="0.2">
      <c r="A195" s="1">
        <v>193</v>
      </c>
      <c r="B195" t="s">
        <v>338</v>
      </c>
      <c r="C195" t="s">
        <v>5</v>
      </c>
      <c r="D195" t="str">
        <f>VLOOKUP(B195,[1]FBCENC_PartnerAgencies_100725_r!$H$2:$K$561,4,0)</f>
        <v>N1040</v>
      </c>
      <c r="E195" t="str">
        <f>VLOOKUP(B195,[1]FBCENC_PartnerAgencies_100725_r!$H$2:$L$561,5,0)</f>
        <v>N1040FP</v>
      </c>
      <c r="F195" t="str">
        <f>VLOOKUP(B195,[1]FBCENC_PartnerAgencies_100725_r!$H$2:$M$561,6,0)</f>
        <v>Lighthouse Community Church</v>
      </c>
    </row>
    <row r="196" spans="1:6" x14ac:dyDescent="0.2">
      <c r="A196" s="1">
        <v>194</v>
      </c>
      <c r="B196" t="s">
        <v>339</v>
      </c>
      <c r="C196" t="s">
        <v>340</v>
      </c>
      <c r="D196" t="str">
        <f>VLOOKUP(B196,[1]FBCENC_PartnerAgencies_100725_r!$H$2:$K$561,4,0)</f>
        <v>N1040</v>
      </c>
      <c r="E196" t="str">
        <f>VLOOKUP(B196,[1]FBCENC_PartnerAgencies_100725_r!$H$2:$L$561,5,0)</f>
        <v>N1040MFP</v>
      </c>
      <c r="F196" t="str">
        <f>VLOOKUP(B196,[1]FBCENC_PartnerAgencies_100725_r!$H$2:$M$561,6,0)</f>
        <v>Lighthouse Community Church</v>
      </c>
    </row>
    <row r="197" spans="1:6" x14ac:dyDescent="0.2">
      <c r="A197" s="1">
        <v>195</v>
      </c>
      <c r="B197" t="s">
        <v>341</v>
      </c>
      <c r="C197" t="s">
        <v>342</v>
      </c>
      <c r="D197" t="str">
        <f>VLOOKUP(B197,[1]FBCENC_PartnerAgencies_100725_r!$H$2:$K$561,4,0)</f>
        <v>N1041</v>
      </c>
      <c r="E197" t="str">
        <f>VLOOKUP(B197,[1]FBCENC_PartnerAgencies_100725_r!$H$2:$L$561,5,0)</f>
        <v>N1041FP</v>
      </c>
      <c r="F197" t="str">
        <f>VLOOKUP(B197,[1]FBCENC_PartnerAgencies_100725_r!$H$2:$M$561,6,0)</f>
        <v>Living Bread Holiness Church</v>
      </c>
    </row>
    <row r="198" spans="1:6" x14ac:dyDescent="0.2">
      <c r="A198" s="1">
        <v>196</v>
      </c>
      <c r="B198" t="s">
        <v>343</v>
      </c>
      <c r="C198" t="s">
        <v>344</v>
      </c>
      <c r="D198" t="str">
        <f>VLOOKUP(B198,[1]FBCENC_PartnerAgencies_100725_r!$H$2:$K$561,4,0)</f>
        <v>N1041</v>
      </c>
      <c r="E198" t="str">
        <f>VLOOKUP(B198,[1]FBCENC_PartnerAgencies_100725_r!$H$2:$L$561,5,0)</f>
        <v>N1041MFP</v>
      </c>
      <c r="F198" t="str">
        <f>VLOOKUP(B198,[1]FBCENC_PartnerAgencies_100725_r!$H$2:$M$561,6,0)</f>
        <v>Living Bread Holiness Church</v>
      </c>
    </row>
    <row r="199" spans="1:6" x14ac:dyDescent="0.2">
      <c r="A199" s="1">
        <v>197</v>
      </c>
      <c r="B199" t="s">
        <v>345</v>
      </c>
      <c r="C199" t="s">
        <v>346</v>
      </c>
      <c r="D199" t="str">
        <f>VLOOKUP(B199,[1]FBCENC_PartnerAgencies_100725_r!$H$2:$K$561,4,0)</f>
        <v>N1044</v>
      </c>
      <c r="E199" t="str">
        <f>VLOOKUP(B199,[1]FBCENC_PartnerAgencies_100725_r!$H$2:$L$561,5,0)</f>
        <v>N1044FP</v>
      </c>
      <c r="F199" t="str">
        <f>VLOOKUP(B199,[1]FBCENC_PartnerAgencies_100725_r!$H$2:$M$561,6,0)</f>
        <v>Martha's Mission Cupboard</v>
      </c>
    </row>
    <row r="200" spans="1:6" x14ac:dyDescent="0.2">
      <c r="A200" s="1">
        <v>198</v>
      </c>
      <c r="B200" t="s">
        <v>347</v>
      </c>
      <c r="C200" t="s">
        <v>348</v>
      </c>
      <c r="D200" t="str">
        <f>VLOOKUP(B200,[1]FBCENC_PartnerAgencies_100725_r!$H$2:$K$561,4,0)</f>
        <v>N1045</v>
      </c>
      <c r="E200" t="str">
        <f>VLOOKUP(B200,[1]FBCENC_PartnerAgencies_100725_r!$H$2:$L$561,5,0)</f>
        <v>N1045MFP</v>
      </c>
      <c r="F200" t="str">
        <f>VLOOKUP(B200,[1]FBCENC_PartnerAgencies_100725_r!$H$2:$M$561,6,0)</f>
        <v>Maysville Methodist Church</v>
      </c>
    </row>
    <row r="201" spans="1:6" x14ac:dyDescent="0.2">
      <c r="A201" s="1">
        <v>199</v>
      </c>
      <c r="B201" t="s">
        <v>349</v>
      </c>
      <c r="C201" t="s">
        <v>350</v>
      </c>
      <c r="D201" t="str">
        <f>VLOOKUP(B201,[1]FBCENC_PartnerAgencies_100725_r!$H$2:$K$561,4,0)</f>
        <v>N1047</v>
      </c>
      <c r="E201" t="str">
        <f>VLOOKUP(B201,[1]FBCENC_PartnerAgencies_100725_r!$H$2:$L$561,5,0)</f>
        <v>N1047FP</v>
      </c>
      <c r="F201" t="str">
        <f>VLOOKUP(B201,[1]FBCENC_PartnerAgencies_100725_r!$H$2:$M$561,6,0)</f>
        <v>Mt Carmel Helps, Inc</v>
      </c>
    </row>
    <row r="202" spans="1:6" x14ac:dyDescent="0.2">
      <c r="A202" s="1">
        <v>200</v>
      </c>
      <c r="B202" t="s">
        <v>351</v>
      </c>
      <c r="C202" t="s">
        <v>352</v>
      </c>
      <c r="D202" t="str">
        <f>VLOOKUP(B202,[1]FBCENC_PartnerAgencies_100725_r!$H$2:$K$561,4,0)</f>
        <v>N1050</v>
      </c>
      <c r="E202" t="str">
        <f>VLOOKUP(B202,[1]FBCENC_PartnerAgencies_100725_r!$H$2:$L$561,5,0)</f>
        <v>N1050FP</v>
      </c>
      <c r="F202" t="str">
        <f>VLOOKUP(B202,[1]FBCENC_PartnerAgencies_100725_r!$H$2:$M$561,6,0)</f>
        <v>Bear Paws Food Pantry</v>
      </c>
    </row>
    <row r="203" spans="1:6" x14ac:dyDescent="0.2">
      <c r="A203" s="1">
        <v>201</v>
      </c>
      <c r="B203" t="s">
        <v>353</v>
      </c>
      <c r="C203" t="s">
        <v>354</v>
      </c>
      <c r="D203" t="str">
        <f>VLOOKUP(B203,[1]FBCENC_PartnerAgencies_100725_r!$H$2:$K$561,4,0)</f>
        <v>N1053</v>
      </c>
      <c r="E203" t="str">
        <f>VLOOKUP(B203,[1]FBCENC_PartnerAgencies_100725_r!$H$2:$L$561,5,0)</f>
        <v>N1053MFP</v>
      </c>
      <c r="F203" t="str">
        <f>VLOOKUP(B203,[1]FBCENC_PartnerAgencies_100725_r!$H$2:$M$561,6,0)</f>
        <v>New Hope Community Outreach</v>
      </c>
    </row>
    <row r="204" spans="1:6" x14ac:dyDescent="0.2">
      <c r="A204" s="1">
        <v>202</v>
      </c>
      <c r="B204" t="s">
        <v>355</v>
      </c>
      <c r="C204" t="s">
        <v>356</v>
      </c>
      <c r="D204" t="str">
        <f>VLOOKUP(B204,[1]FBCENC_PartnerAgencies_100725_r!$H$2:$K$561,4,0)</f>
        <v>N1056</v>
      </c>
      <c r="E204" t="str">
        <f>VLOOKUP(B204,[1]FBCENC_PartnerAgencies_100725_r!$H$2:$L$561,5,0)</f>
        <v>N1056FP</v>
      </c>
      <c r="F204" t="str">
        <f>VLOOKUP(B204,[1]FBCENC_PartnerAgencies_100725_r!$H$2:$M$561,6,0)</f>
        <v>Onslow Community Outreach</v>
      </c>
    </row>
    <row r="205" spans="1:6" x14ac:dyDescent="0.2">
      <c r="A205" s="1">
        <v>203</v>
      </c>
      <c r="B205" t="s">
        <v>357</v>
      </c>
      <c r="C205" t="s">
        <v>358</v>
      </c>
      <c r="D205" t="str">
        <f>VLOOKUP(B205,[1]FBCENC_PartnerAgencies_100725_r!$H$2:$K$561,4,0)</f>
        <v>N1056</v>
      </c>
      <c r="E205" t="str">
        <f>VLOOKUP(B205,[1]FBCENC_PartnerAgencies_100725_r!$H$2:$L$561,5,0)</f>
        <v>N1056MFP</v>
      </c>
      <c r="F205" t="str">
        <f>VLOOKUP(B205,[1]FBCENC_PartnerAgencies_100725_r!$H$2:$M$561,6,0)</f>
        <v>Onslow Community Outreach</v>
      </c>
    </row>
    <row r="206" spans="1:6" x14ac:dyDescent="0.2">
      <c r="A206" s="1">
        <v>204</v>
      </c>
      <c r="B206" t="s">
        <v>359</v>
      </c>
      <c r="C206" t="s">
        <v>35</v>
      </c>
      <c r="D206" t="e">
        <f>VLOOKUP(B206,[1]FBCENC_PartnerAgencies_100725_r!$H$2:$K$561,4,0)</f>
        <v>#N/A</v>
      </c>
      <c r="E206" t="e">
        <f>VLOOKUP(B206,[1]FBCENC_PartnerAgencies_100725_r!$H$2:$L$561,5,0)</f>
        <v>#N/A</v>
      </c>
      <c r="F206" t="e">
        <f>VLOOKUP(B206,[1]FBCENC_PartnerAgencies_100725_r!$H$2:$M$561,6,0)</f>
        <v>#N/A</v>
      </c>
    </row>
    <row r="207" spans="1:6" x14ac:dyDescent="0.2">
      <c r="A207" s="1">
        <v>205</v>
      </c>
      <c r="B207" t="s">
        <v>360</v>
      </c>
      <c r="C207" t="s">
        <v>361</v>
      </c>
      <c r="D207" t="str">
        <f>VLOOKUP(B207,[1]FBCENC_PartnerAgencies_100725_r!$H$2:$K$561,4,0)</f>
        <v>N1056</v>
      </c>
      <c r="E207" t="str">
        <f>VLOOKUP(B207,[1]FBCENC_PartnerAgencies_100725_r!$H$2:$L$561,5,0)</f>
        <v>N1056SK</v>
      </c>
      <c r="F207" t="str">
        <f>VLOOKUP(B207,[1]FBCENC_PartnerAgencies_100725_r!$H$2:$M$561,6,0)</f>
        <v>Onslow Community Outreach</v>
      </c>
    </row>
    <row r="208" spans="1:6" x14ac:dyDescent="0.2">
      <c r="A208" s="1">
        <v>206</v>
      </c>
      <c r="B208" t="s">
        <v>362</v>
      </c>
      <c r="C208" t="s">
        <v>5</v>
      </c>
      <c r="D208" t="str">
        <f>VLOOKUP(B208,[1]FBCENC_PartnerAgencies_100725_r!$H$2:$K$561,4,0)</f>
        <v>N1058</v>
      </c>
      <c r="E208" t="str">
        <f>VLOOKUP(B208,[1]FBCENC_PartnerAgencies_100725_r!$H$2:$L$561,5,0)</f>
        <v>N1058FP</v>
      </c>
      <c r="F208" t="str">
        <f>VLOOKUP(B208,[1]FBCENC_PartnerAgencies_100725_r!$H$2:$M$561,6,0)</f>
        <v>Open Door Management Inc</v>
      </c>
    </row>
    <row r="209" spans="1:6" x14ac:dyDescent="0.2">
      <c r="A209" s="1">
        <v>207</v>
      </c>
      <c r="B209" t="s">
        <v>363</v>
      </c>
      <c r="C209" t="s">
        <v>5</v>
      </c>
      <c r="D209" t="str">
        <f>VLOOKUP(B209,[1]FBCENC_PartnerAgencies_100725_r!$H$2:$K$561,4,0)</f>
        <v>N1058</v>
      </c>
      <c r="E209" t="str">
        <f>VLOOKUP(B209,[1]FBCENC_PartnerAgencies_100725_r!$H$2:$L$561,5,0)</f>
        <v>N1058MFP</v>
      </c>
      <c r="F209" t="str">
        <f>VLOOKUP(B209,[1]FBCENC_PartnerAgencies_100725_r!$H$2:$M$561,6,0)</f>
        <v>Open Door Management Inc</v>
      </c>
    </row>
    <row r="210" spans="1:6" x14ac:dyDescent="0.2">
      <c r="A210" s="1">
        <v>208</v>
      </c>
      <c r="B210" t="s">
        <v>364</v>
      </c>
      <c r="C210" t="s">
        <v>5</v>
      </c>
      <c r="D210" t="str">
        <f>VLOOKUP(B210,[1]FBCENC_PartnerAgencies_100725_r!$H$2:$K$561,4,0)</f>
        <v>N1059</v>
      </c>
      <c r="E210" t="str">
        <f>VLOOKUP(B210,[1]FBCENC_PartnerAgencies_100725_r!$H$2:$L$561,5,0)</f>
        <v>N1059FP</v>
      </c>
      <c r="F210" t="str">
        <f>VLOOKUP(B210,[1]FBCENC_PartnerAgencies_100725_r!$H$2:$M$561,6,0)</f>
        <v>Pamlico County Fishes &amp; Loaves</v>
      </c>
    </row>
    <row r="211" spans="1:6" x14ac:dyDescent="0.2">
      <c r="A211" s="1">
        <v>209</v>
      </c>
      <c r="B211" t="s">
        <v>365</v>
      </c>
      <c r="C211" t="s">
        <v>366</v>
      </c>
      <c r="D211" t="str">
        <f>VLOOKUP(B211,[1]FBCENC_PartnerAgencies_100725_r!$H$2:$K$561,4,0)</f>
        <v>N1059</v>
      </c>
      <c r="E211" t="str">
        <f>VLOOKUP(B211,[1]FBCENC_PartnerAgencies_100725_r!$H$2:$L$561,5,0)</f>
        <v>N1059MFP</v>
      </c>
      <c r="F211" t="str">
        <f>VLOOKUP(B211,[1]FBCENC_PartnerAgencies_100725_r!$H$2:$M$561,6,0)</f>
        <v>Pamlico County Fishes &amp; Loaves</v>
      </c>
    </row>
    <row r="212" spans="1:6" x14ac:dyDescent="0.2">
      <c r="A212" s="1">
        <v>210</v>
      </c>
      <c r="B212" t="s">
        <v>367</v>
      </c>
      <c r="C212" t="s">
        <v>368</v>
      </c>
      <c r="D212" t="str">
        <f>VLOOKUP(B212,[1]FBCENC_PartnerAgencies_100725_r!$H$2:$K$561,4,0)</f>
        <v>N1062</v>
      </c>
      <c r="E212" t="str">
        <f>VLOOKUP(B212,[1]FBCENC_PartnerAgencies_100725_r!$H$2:$L$561,5,0)</f>
        <v>N1062FP</v>
      </c>
      <c r="F212" t="str">
        <f>VLOOKUP(B212,[1]FBCENC_PartnerAgencies_100725_r!$H$2:$M$561,6,0)</f>
        <v>Reelsboro United Christian Services</v>
      </c>
    </row>
    <row r="213" spans="1:6" x14ac:dyDescent="0.2">
      <c r="A213" s="1">
        <v>211</v>
      </c>
      <c r="B213" t="s">
        <v>369</v>
      </c>
      <c r="C213" t="s">
        <v>370</v>
      </c>
      <c r="D213" t="str">
        <f>VLOOKUP(B213,[1]FBCENC_PartnerAgencies_100725_r!$H$2:$K$561,4,0)</f>
        <v>N1063</v>
      </c>
      <c r="E213" t="str">
        <f>VLOOKUP(B213,[1]FBCENC_PartnerAgencies_100725_r!$H$2:$L$561,5,0)</f>
        <v>N1063FP</v>
      </c>
      <c r="F213" t="str">
        <f>VLOOKUP(B213,[1]FBCENC_PartnerAgencies_100725_r!$H$2:$M$561,6,0)</f>
        <v>Religious Community Services</v>
      </c>
    </row>
    <row r="214" spans="1:6" x14ac:dyDescent="0.2">
      <c r="A214" s="1">
        <v>212</v>
      </c>
      <c r="B214" t="s">
        <v>371</v>
      </c>
      <c r="C214" t="s">
        <v>372</v>
      </c>
      <c r="D214" t="str">
        <f>VLOOKUP(B214,[1]FBCENC_PartnerAgencies_100725_r!$H$2:$K$561,4,0)</f>
        <v>N1063</v>
      </c>
      <c r="E214" t="str">
        <f>VLOOKUP(B214,[1]FBCENC_PartnerAgencies_100725_r!$H$2:$L$561,5,0)</f>
        <v>N1063MFP</v>
      </c>
      <c r="F214" t="str">
        <f>VLOOKUP(B214,[1]FBCENC_PartnerAgencies_100725_r!$H$2:$M$561,6,0)</f>
        <v>Religious Community Services</v>
      </c>
    </row>
    <row r="215" spans="1:6" x14ac:dyDescent="0.2">
      <c r="A215" s="1">
        <v>213</v>
      </c>
      <c r="B215" t="s">
        <v>373</v>
      </c>
      <c r="C215" t="s">
        <v>374</v>
      </c>
      <c r="D215" t="str">
        <f>VLOOKUP(B215,[1]FBCENC_PartnerAgencies_100725_r!$H$2:$K$561,4,0)</f>
        <v>N1063</v>
      </c>
      <c r="E215" t="str">
        <f>VLOOKUP(B215,[1]FBCENC_PartnerAgencies_100725_r!$H$2:$L$561,5,0)</f>
        <v>N1063MFP2</v>
      </c>
      <c r="F215" t="str">
        <f>VLOOKUP(B215,[1]FBCENC_PartnerAgencies_100725_r!$H$2:$M$561,6,0)</f>
        <v>Religious Community Services</v>
      </c>
    </row>
    <row r="216" spans="1:6" x14ac:dyDescent="0.2">
      <c r="A216" s="1">
        <v>214</v>
      </c>
      <c r="B216" t="s">
        <v>375</v>
      </c>
      <c r="C216" t="s">
        <v>376</v>
      </c>
      <c r="D216" t="str">
        <f>VLOOKUP(B216,[1]FBCENC_PartnerAgencies_100725_r!$H$2:$K$561,4,0)</f>
        <v>N1063</v>
      </c>
      <c r="E216" t="str">
        <f>VLOOKUP(B216,[1]FBCENC_PartnerAgencies_100725_r!$H$2:$L$561,5,0)</f>
        <v>N1063SH</v>
      </c>
      <c r="F216" t="str">
        <f>VLOOKUP(B216,[1]FBCENC_PartnerAgencies_100725_r!$H$2:$M$561,6,0)</f>
        <v>Religious Community Services -Shelter</v>
      </c>
    </row>
    <row r="217" spans="1:6" x14ac:dyDescent="0.2">
      <c r="A217" s="1">
        <v>215</v>
      </c>
      <c r="B217" t="s">
        <v>377</v>
      </c>
      <c r="C217" t="s">
        <v>378</v>
      </c>
      <c r="D217" t="str">
        <f>VLOOKUP(B217,[1]FBCENC_PartnerAgencies_100725_r!$H$2:$K$561,4,0)</f>
        <v>N1063</v>
      </c>
      <c r="E217" t="str">
        <f>VLOOKUP(B217,[1]FBCENC_PartnerAgencies_100725_r!$H$2:$L$561,5,0)</f>
        <v>N1063SK</v>
      </c>
      <c r="F217" t="str">
        <f>VLOOKUP(B217,[1]FBCENC_PartnerAgencies_100725_r!$H$2:$M$561,6,0)</f>
        <v>Religious Community Services</v>
      </c>
    </row>
    <row r="218" spans="1:6" x14ac:dyDescent="0.2">
      <c r="A218" s="1">
        <v>216</v>
      </c>
      <c r="B218" t="s">
        <v>379</v>
      </c>
      <c r="C218" t="s">
        <v>380</v>
      </c>
      <c r="D218" t="str">
        <f>VLOOKUP(B218,[1]FBCENC_PartnerAgencies_100725_r!$H$2:$K$561,4,0)</f>
        <v>N1064</v>
      </c>
      <c r="E218" t="str">
        <f>VLOOKUP(B218,[1]FBCENC_PartnerAgencies_100725_r!$H$2:$L$561,5,0)</f>
        <v>N1064FP</v>
      </c>
      <c r="F218" t="str">
        <f>VLOOKUP(B218,[1]FBCENC_PartnerAgencies_100725_r!$H$2:$M$561,6,0)</f>
        <v>Richlands Community Outreach</v>
      </c>
    </row>
    <row r="219" spans="1:6" x14ac:dyDescent="0.2">
      <c r="A219" s="1">
        <v>217</v>
      </c>
      <c r="B219" t="s">
        <v>381</v>
      </c>
      <c r="C219" t="s">
        <v>382</v>
      </c>
      <c r="D219" t="str">
        <f>VLOOKUP(B219,[1]FBCENC_PartnerAgencies_100725_r!$H$2:$K$561,4,0)</f>
        <v>N1064</v>
      </c>
      <c r="E219" t="str">
        <f>VLOOKUP(B219,[1]FBCENC_PartnerAgencies_100725_r!$H$2:$L$561,5,0)</f>
        <v>N1064MFP</v>
      </c>
      <c r="F219" t="str">
        <f>VLOOKUP(B219,[1]FBCENC_PartnerAgencies_100725_r!$H$2:$M$561,6,0)</f>
        <v>Richlands Community Outreach</v>
      </c>
    </row>
    <row r="220" spans="1:6" x14ac:dyDescent="0.2">
      <c r="A220" s="1">
        <v>218</v>
      </c>
      <c r="B220" t="s">
        <v>383</v>
      </c>
      <c r="C220" t="s">
        <v>72</v>
      </c>
      <c r="D220" t="str">
        <f>VLOOKUP(B220,[1]FBCENC_PartnerAgencies_100725_r!$H$2:$K$561,4,0)</f>
        <v>N1065</v>
      </c>
      <c r="E220" t="str">
        <f>VLOOKUP(B220,[1]FBCENC_PartnerAgencies_100725_r!$H$2:$L$561,5,0)</f>
        <v>N1065FP</v>
      </c>
      <c r="F220" t="str">
        <f>VLOOKUP(B220,[1]FBCENC_PartnerAgencies_100725_r!$H$2:$M$561,6,0)</f>
        <v>Salvation Army Carteret Co</v>
      </c>
    </row>
    <row r="221" spans="1:6" x14ac:dyDescent="0.2">
      <c r="A221" s="1">
        <v>219</v>
      </c>
      <c r="B221" t="s">
        <v>384</v>
      </c>
      <c r="C221" t="s">
        <v>5</v>
      </c>
      <c r="D221" t="str">
        <f>VLOOKUP(B221,[1]FBCENC_PartnerAgencies_100725_r!$H$2:$K$561,4,0)</f>
        <v>N1067</v>
      </c>
      <c r="E221" t="str">
        <f>VLOOKUP(B221,[1]FBCENC_PartnerAgencies_100725_r!$H$2:$L$561,5,0)</f>
        <v>N1067FP1</v>
      </c>
      <c r="F221" t="str">
        <f>VLOOKUP(B221,[1]FBCENC_PartnerAgencies_100725_r!$H$2:$M$561,6,0)</f>
        <v>Salvation Army-Jacksonville</v>
      </c>
    </row>
    <row r="222" spans="1:6" x14ac:dyDescent="0.2">
      <c r="A222" s="1">
        <v>220</v>
      </c>
      <c r="B222" t="s">
        <v>385</v>
      </c>
      <c r="C222" t="s">
        <v>386</v>
      </c>
      <c r="D222" t="str">
        <f>VLOOKUP(B222,[1]FBCENC_PartnerAgencies_100725_r!$H$2:$K$561,4,0)</f>
        <v>N1067</v>
      </c>
      <c r="E222" t="str">
        <f>VLOOKUP(B222,[1]FBCENC_PartnerAgencies_100725_r!$H$2:$L$561,5,0)</f>
        <v>N1067MFP</v>
      </c>
      <c r="F222" t="str">
        <f>VLOOKUP(B222,[1]FBCENC_PartnerAgencies_100725_r!$H$2:$M$561,6,0)</f>
        <v>Salvation Army-Jacksonville</v>
      </c>
    </row>
    <row r="223" spans="1:6" x14ac:dyDescent="0.2">
      <c r="A223" s="1">
        <v>221</v>
      </c>
      <c r="B223" t="s">
        <v>387</v>
      </c>
      <c r="C223" t="s">
        <v>5</v>
      </c>
      <c r="D223" t="str">
        <f>VLOOKUP(B223,[1]FBCENC_PartnerAgencies_100725_r!$H$2:$K$561,4,0)</f>
        <v>N1067</v>
      </c>
      <c r="E223" t="str">
        <f>VLOOKUP(B223,[1]FBCENC_PartnerAgencies_100725_r!$H$2:$L$561,5,0)</f>
        <v>N1067MFP2</v>
      </c>
      <c r="F223" t="str">
        <f>VLOOKUP(B223,[1]FBCENC_PartnerAgencies_100725_r!$H$2:$M$561,6,0)</f>
        <v>Salvation Army-Jacksonville</v>
      </c>
    </row>
    <row r="224" spans="1:6" x14ac:dyDescent="0.2">
      <c r="A224" s="1">
        <v>222</v>
      </c>
      <c r="B224" t="s">
        <v>388</v>
      </c>
      <c r="C224" t="s">
        <v>348</v>
      </c>
      <c r="D224" t="str">
        <f>VLOOKUP(B224,[1]FBCENC_PartnerAgencies_100725_r!$H$2:$K$561,4,0)</f>
        <v>N1045</v>
      </c>
      <c r="E224" t="str">
        <f>VLOOKUP(B224,[1]FBCENC_PartnerAgencies_100725_r!$H$2:$L$561,5,0)</f>
        <v>N1045MFP</v>
      </c>
      <c r="F224" t="str">
        <f>VLOOKUP(B224,[1]FBCENC_PartnerAgencies_100725_r!$H$2:$M$561,6,0)</f>
        <v>Maysville Methodist Church</v>
      </c>
    </row>
    <row r="225" spans="1:6" x14ac:dyDescent="0.2">
      <c r="A225" s="1">
        <v>223</v>
      </c>
      <c r="B225" t="s">
        <v>389</v>
      </c>
      <c r="C225" t="s">
        <v>390</v>
      </c>
      <c r="D225" t="e">
        <f>VLOOKUP(B225,[1]FBCENC_PartnerAgencies_100725_r!$H$2:$K$561,4,0)</f>
        <v>#N/A</v>
      </c>
      <c r="E225" t="e">
        <f>VLOOKUP(B225,[1]FBCENC_PartnerAgencies_100725_r!$H$2:$L$561,5,0)</f>
        <v>#N/A</v>
      </c>
      <c r="F225" t="e">
        <f>VLOOKUP(B225,[1]FBCENC_PartnerAgencies_100725_r!$H$2:$M$561,6,0)</f>
        <v>#N/A</v>
      </c>
    </row>
    <row r="226" spans="1:6" x14ac:dyDescent="0.2">
      <c r="A226" s="1">
        <v>224</v>
      </c>
      <c r="B226" t="s">
        <v>391</v>
      </c>
      <c r="C226" t="s">
        <v>392</v>
      </c>
      <c r="D226" t="str">
        <f>VLOOKUP(B226,[1]FBCENC_PartnerAgencies_100725_r!$H$2:$K$561,4,0)</f>
        <v>N1074</v>
      </c>
      <c r="E226" t="str">
        <f>VLOOKUP(B226,[1]FBCENC_PartnerAgencies_100725_r!$H$2:$L$561,5,0)</f>
        <v>N1074FP</v>
      </c>
      <c r="F226" t="str">
        <f>VLOOKUP(B226,[1]FBCENC_PartnerAgencies_100725_r!$H$2:$M$561,6,0)</f>
        <v>Saint James Methodist Church</v>
      </c>
    </row>
    <row r="227" spans="1:6" x14ac:dyDescent="0.2">
      <c r="A227" s="1">
        <v>225</v>
      </c>
      <c r="B227" t="s">
        <v>393</v>
      </c>
      <c r="C227" t="s">
        <v>394</v>
      </c>
      <c r="D227" t="str">
        <f>VLOOKUP(B227,[1]FBCENC_PartnerAgencies_100725_r!$H$2:$K$561,4,0)</f>
        <v>N1074</v>
      </c>
      <c r="E227" t="str">
        <f>VLOOKUP(B227,[1]FBCENC_PartnerAgencies_100725_r!$H$2:$L$561,5,0)</f>
        <v>N1074MFP</v>
      </c>
      <c r="F227" t="str">
        <f>VLOOKUP(B227,[1]FBCENC_PartnerAgencies_100725_r!$H$2:$M$561,6,0)</f>
        <v>Saint James Methodist Church</v>
      </c>
    </row>
    <row r="228" spans="1:6" x14ac:dyDescent="0.2">
      <c r="A228" s="1">
        <v>226</v>
      </c>
      <c r="B228" t="s">
        <v>395</v>
      </c>
      <c r="C228" t="s">
        <v>5</v>
      </c>
      <c r="D228" t="str">
        <f>VLOOKUP(B228,[1]FBCENC_PartnerAgencies_100725_r!$H$2:$K$561,4,0)</f>
        <v>N1076</v>
      </c>
      <c r="E228" t="str">
        <f>VLOOKUP(B228,[1]FBCENC_PartnerAgencies_100725_r!$H$2:$L$561,5,0)</f>
        <v>N1076FP</v>
      </c>
      <c r="F228" t="str">
        <f>VLOOKUP(B228,[1]FBCENC_PartnerAgencies_100725_r!$H$2:$M$561,6,0)</f>
        <v>Tabernacle Baptist Church</v>
      </c>
    </row>
    <row r="229" spans="1:6" x14ac:dyDescent="0.2">
      <c r="A229" s="1">
        <v>227</v>
      </c>
      <c r="B229" t="s">
        <v>396</v>
      </c>
      <c r="C229" t="s">
        <v>397</v>
      </c>
      <c r="D229" t="e">
        <f>VLOOKUP(B229,[1]FBCENC_PartnerAgencies_100725_r!$H$2:$K$561,4,0)</f>
        <v>#N/A</v>
      </c>
      <c r="E229" t="e">
        <f>VLOOKUP(B229,[1]FBCENC_PartnerAgencies_100725_r!$H$2:$L$561,5,0)</f>
        <v>#N/A</v>
      </c>
      <c r="F229" t="e">
        <f>VLOOKUP(B229,[1]FBCENC_PartnerAgencies_100725_r!$H$2:$M$561,6,0)</f>
        <v>#N/A</v>
      </c>
    </row>
    <row r="230" spans="1:6" x14ac:dyDescent="0.2">
      <c r="A230" s="1">
        <v>228</v>
      </c>
      <c r="B230" t="s">
        <v>398</v>
      </c>
      <c r="C230" t="s">
        <v>399</v>
      </c>
      <c r="D230" t="str">
        <f>VLOOKUP(B230,[1]FBCENC_PartnerAgencies_100725_r!$H$2:$K$561,4,0)</f>
        <v>N1078</v>
      </c>
      <c r="E230" t="str">
        <f>VLOOKUP(B230,[1]FBCENC_PartnerAgencies_100725_r!$H$2:$L$561,5,0)</f>
        <v>N1078FP</v>
      </c>
      <c r="F230" t="str">
        <f>VLOOKUP(B230,[1]FBCENC_PartnerAgencies_100725_r!$H$2:$M$561,6,0)</f>
        <v>The Storehouse Pantry</v>
      </c>
    </row>
    <row r="231" spans="1:6" x14ac:dyDescent="0.2">
      <c r="A231" s="1">
        <v>229</v>
      </c>
      <c r="B231" t="s">
        <v>400</v>
      </c>
      <c r="C231" t="s">
        <v>401</v>
      </c>
      <c r="D231" t="str">
        <f>VLOOKUP(B231,[1]FBCENC_PartnerAgencies_100725_r!$H$2:$K$561,4,0)</f>
        <v>N1083</v>
      </c>
      <c r="E231" t="str">
        <f>VLOOKUP(B231,[1]FBCENC_PartnerAgencies_100725_r!$H$2:$L$561,5,0)</f>
        <v>N1083FP</v>
      </c>
      <c r="F231" t="str">
        <f>VLOOKUP(B231,[1]FBCENC_PartnerAgencies_100725_r!$H$2:$M$561,6,0)</f>
        <v>Vanceboro Christian Help Center</v>
      </c>
    </row>
    <row r="232" spans="1:6" x14ac:dyDescent="0.2">
      <c r="A232" s="1">
        <v>230</v>
      </c>
      <c r="B232" t="s">
        <v>402</v>
      </c>
      <c r="C232" t="s">
        <v>403</v>
      </c>
      <c r="D232" t="str">
        <f>VLOOKUP(B232,[1]FBCENC_PartnerAgencies_100725_r!$H$2:$K$561,4,0)</f>
        <v>N1084</v>
      </c>
      <c r="E232" t="str">
        <f>VLOOKUP(B232,[1]FBCENC_PartnerAgencies_100725_r!$H$2:$L$561,5,0)</f>
        <v>N1084FP</v>
      </c>
      <c r="F232" t="str">
        <f>VLOOKUP(B232,[1]FBCENC_PartnerAgencies_100725_r!$H$2:$M$561,6,0)</f>
        <v>Wildwood Presbyterian Church</v>
      </c>
    </row>
    <row r="233" spans="1:6" x14ac:dyDescent="0.2">
      <c r="A233" s="1">
        <v>231</v>
      </c>
      <c r="B233" t="s">
        <v>404</v>
      </c>
      <c r="C233" t="s">
        <v>405</v>
      </c>
      <c r="D233" t="str">
        <f>VLOOKUP(B233,[1]FBCENC_PartnerAgencies_100725_r!$H$2:$K$561,4,0)</f>
        <v>N1093</v>
      </c>
      <c r="E233" t="str">
        <f>VLOOKUP(B233,[1]FBCENC_PartnerAgencies_100725_r!$H$2:$L$561,5,0)</f>
        <v>N1093FP</v>
      </c>
      <c r="F233" t="str">
        <f>VLOOKUP(B233,[1]FBCENC_PartnerAgencies_100725_r!$H$2:$M$561,6,0)</f>
        <v>The Filling Station</v>
      </c>
    </row>
    <row r="234" spans="1:6" x14ac:dyDescent="0.2">
      <c r="A234" s="1">
        <v>232</v>
      </c>
      <c r="B234" t="s">
        <v>406</v>
      </c>
      <c r="C234" t="s">
        <v>407</v>
      </c>
      <c r="D234" t="e">
        <f>VLOOKUP(B234,[1]FBCENC_PartnerAgencies_100725_r!$H$2:$K$561,4,0)</f>
        <v>#N/A</v>
      </c>
      <c r="E234" t="e">
        <f>VLOOKUP(B234,[1]FBCENC_PartnerAgencies_100725_r!$H$2:$L$561,5,0)</f>
        <v>#N/A</v>
      </c>
      <c r="F234" t="e">
        <f>VLOOKUP(B234,[1]FBCENC_PartnerAgencies_100725_r!$H$2:$M$561,6,0)</f>
        <v>#N/A</v>
      </c>
    </row>
    <row r="235" spans="1:6" x14ac:dyDescent="0.2">
      <c r="A235" s="1">
        <v>233</v>
      </c>
      <c r="B235" t="s">
        <v>408</v>
      </c>
      <c r="C235" t="s">
        <v>5</v>
      </c>
      <c r="D235" t="str">
        <f>VLOOKUP(B235,[1]FBCENC_PartnerAgencies_100725_r!$H$2:$K$561,4,0)</f>
        <v>N1101</v>
      </c>
      <c r="E235" t="str">
        <f>VLOOKUP(B235,[1]FBCENC_PartnerAgencies_100725_r!$H$2:$L$561,5,0)</f>
        <v>N1101SK</v>
      </c>
      <c r="F235" t="str">
        <f>VLOOKUP(B235,[1]FBCENC_PartnerAgencies_100725_r!$H$2:$M$561,6,0)</f>
        <v>The Gathering Place</v>
      </c>
    </row>
    <row r="236" spans="1:6" x14ac:dyDescent="0.2">
      <c r="A236" s="1">
        <v>234</v>
      </c>
      <c r="B236" t="s">
        <v>409</v>
      </c>
      <c r="C236" t="s">
        <v>410</v>
      </c>
      <c r="D236" t="str">
        <f>VLOOKUP(B236,[1]FBCENC_PartnerAgencies_100725_r!$H$2:$K$561,4,0)</f>
        <v>R1001</v>
      </c>
      <c r="E236" t="str">
        <f>VLOOKUP(B236,[1]FBCENC_PartnerAgencies_100725_r!$H$2:$L$561,5,0)</f>
        <v>R1001FP</v>
      </c>
      <c r="F236" t="str">
        <f>VLOOKUP(B236,[1]FBCENC_PartnerAgencies_100725_r!$H$2:$M$561,6,0)</f>
        <v>A Touch From Above Faith</v>
      </c>
    </row>
    <row r="237" spans="1:6" x14ac:dyDescent="0.2">
      <c r="A237" s="1">
        <v>235</v>
      </c>
      <c r="B237" t="s">
        <v>411</v>
      </c>
      <c r="C237" t="s">
        <v>412</v>
      </c>
      <c r="D237" t="str">
        <f>VLOOKUP(B237,[1]FBCENC_PartnerAgencies_100725_r!$H$2:$K$561,4,0)</f>
        <v>R1002</v>
      </c>
      <c r="E237" t="str">
        <f>VLOOKUP(B237,[1]FBCENC_PartnerAgencies_100725_r!$H$2:$L$561,5,0)</f>
        <v>R1002FP</v>
      </c>
      <c r="F237" t="str">
        <f>VLOOKUP(B237,[1]FBCENC_PartnerAgencies_100725_r!$H$2:$M$561,6,0)</f>
        <v>A Touch of the Father's Love Inc</v>
      </c>
    </row>
    <row r="238" spans="1:6" x14ac:dyDescent="0.2">
      <c r="A238" s="1">
        <v>236</v>
      </c>
      <c r="B238" t="s">
        <v>413</v>
      </c>
      <c r="C238" t="s">
        <v>414</v>
      </c>
      <c r="D238" t="str">
        <f>VLOOKUP(B238,[1]FBCENC_PartnerAgencies_100725_r!$H$2:$K$561,4,0)</f>
        <v>R1003</v>
      </c>
      <c r="E238" t="str">
        <f>VLOOKUP(B238,[1]FBCENC_PartnerAgencies_100725_r!$H$2:$L$561,5,0)</f>
        <v>R1003FP</v>
      </c>
      <c r="F238" t="str">
        <f>VLOOKUP(B238,[1]FBCENC_PartnerAgencies_100725_r!$H$2:$M$561,6,0)</f>
        <v>Abundant Life Ministries</v>
      </c>
    </row>
    <row r="239" spans="1:6" x14ac:dyDescent="0.2">
      <c r="A239" s="1">
        <v>237</v>
      </c>
      <c r="B239" t="s">
        <v>415</v>
      </c>
      <c r="C239" t="s">
        <v>46</v>
      </c>
      <c r="D239" t="str">
        <f>VLOOKUP(B239,[1]FBCENC_PartnerAgencies_100725_r!$H$2:$K$561,4,0)</f>
        <v>R1010</v>
      </c>
      <c r="E239" t="str">
        <f>VLOOKUP(B239,[1]FBCENC_PartnerAgencies_100725_r!$H$2:$L$561,5,0)</f>
        <v>R1010FP</v>
      </c>
      <c r="F239" t="str">
        <f>VLOOKUP(B239,[1]FBCENC_PartnerAgencies_100725_r!$H$2:$M$561,6,0)</f>
        <v>Alliance of AIDS Services</v>
      </c>
    </row>
    <row r="240" spans="1:6" x14ac:dyDescent="0.2">
      <c r="A240" s="1">
        <v>238</v>
      </c>
      <c r="B240" t="s">
        <v>416</v>
      </c>
      <c r="C240" t="s">
        <v>5</v>
      </c>
      <c r="D240" t="str">
        <f>VLOOKUP(B240,[1]FBCENC_PartnerAgencies_100725_r!$H$2:$K$561,4,0)</f>
        <v>R1011OTH2</v>
      </c>
      <c r="E240" t="str">
        <f>VLOOKUP(B240,[1]FBCENC_PartnerAgencies_100725_r!$H$2:$L$561,5,0)</f>
        <v>R1011OTH2</v>
      </c>
      <c r="F240" t="str">
        <f>VLOOKUP(B240,[1]FBCENC_PartnerAgencies_100725_r!$H$2:$M$561,6,0)</f>
        <v>An Elegant Affair</v>
      </c>
    </row>
    <row r="241" spans="1:6" x14ac:dyDescent="0.2">
      <c r="A241" s="1">
        <v>239</v>
      </c>
      <c r="B241" t="s">
        <v>417</v>
      </c>
      <c r="C241" t="s">
        <v>418</v>
      </c>
      <c r="D241" t="str">
        <f>VLOOKUP(B241,[1]FBCENC_PartnerAgencies_100725_r!$H$2:$K$561,4,0)</f>
        <v>R1012</v>
      </c>
      <c r="E241" t="str">
        <f>VLOOKUP(B241,[1]FBCENC_PartnerAgencies_100725_r!$H$2:$L$561,5,0)</f>
        <v>R1012FP</v>
      </c>
      <c r="F241" t="str">
        <f>VLOOKUP(B241,[1]FBCENC_PartnerAgencies_100725_r!$H$2:$M$561,6,0)</f>
        <v>Angier Area Food Pantry</v>
      </c>
    </row>
    <row r="242" spans="1:6" x14ac:dyDescent="0.2">
      <c r="A242" s="1">
        <v>240</v>
      </c>
      <c r="B242" t="s">
        <v>419</v>
      </c>
      <c r="C242" t="s">
        <v>5</v>
      </c>
      <c r="D242" t="str">
        <f>VLOOKUP(B242,[1]FBCENC_PartnerAgencies_100725_r!$H$2:$K$561,4,0)</f>
        <v>R1014</v>
      </c>
      <c r="E242" t="str">
        <f>VLOOKUP(B242,[1]FBCENC_PartnerAgencies_100725_r!$H$2:$L$561,5,0)</f>
        <v>R1014FP</v>
      </c>
      <c r="F242" t="str">
        <f>VLOOKUP(B242,[1]FBCENC_PartnerAgencies_100725_r!$H$2:$M$561,6,0)</f>
        <v>Apostolic Faith Church</v>
      </c>
    </row>
    <row r="243" spans="1:6" x14ac:dyDescent="0.2">
      <c r="A243" s="1">
        <v>241</v>
      </c>
      <c r="B243" t="s">
        <v>420</v>
      </c>
      <c r="C243" t="s">
        <v>421</v>
      </c>
      <c r="D243" t="str">
        <f>VLOOKUP(B243,[1]FBCENC_PartnerAgencies_100725_r!$H$2:$K$561,4,0)</f>
        <v>R1020</v>
      </c>
      <c r="E243" t="str">
        <f>VLOOKUP(B243,[1]FBCENC_PartnerAgencies_100725_r!$H$2:$L$561,5,0)</f>
        <v>R1020FP</v>
      </c>
      <c r="F243" t="str">
        <f>VLOOKUP(B243,[1]FBCENC_PartnerAgencies_100725_r!$H$2:$M$561,6,0)</f>
        <v>Family Food Basket</v>
      </c>
    </row>
    <row r="244" spans="1:6" x14ac:dyDescent="0.2">
      <c r="A244" s="1">
        <v>242</v>
      </c>
      <c r="B244" t="s">
        <v>422</v>
      </c>
      <c r="C244" t="s">
        <v>5</v>
      </c>
      <c r="D244" t="str">
        <f>VLOOKUP(B244,[1]FBCENC_PartnerAgencies_100725_r!$H$2:$K$561,4,0)</f>
        <v>R1021</v>
      </c>
      <c r="E244" t="str">
        <f>VLOOKUP(B244,[1]FBCENC_PartnerAgencies_100725_r!$H$2:$L$561,5,0)</f>
        <v>R1021FP</v>
      </c>
      <c r="F244" t="str">
        <f>VLOOKUP(B244,[1]FBCENC_PartnerAgencies_100725_r!$H$2:$M$561,6,0)</f>
        <v>Baptist Grove</v>
      </c>
    </row>
    <row r="245" spans="1:6" x14ac:dyDescent="0.2">
      <c r="A245" s="1">
        <v>243</v>
      </c>
      <c r="B245" t="s">
        <v>423</v>
      </c>
      <c r="C245" t="s">
        <v>424</v>
      </c>
      <c r="D245" t="str">
        <f>VLOOKUP(B245,[1]FBCENC_PartnerAgencies_100725_r!$H$2:$K$561,4,0)</f>
        <v>R1024</v>
      </c>
      <c r="E245" t="str">
        <f>VLOOKUP(B245,[1]FBCENC_PartnerAgencies_100725_r!$H$2:$L$561,5,0)</f>
        <v>R1024FP</v>
      </c>
      <c r="F245" t="str">
        <f>VLOOKUP(B245,[1]FBCENC_PartnerAgencies_100725_r!$H$2:$M$561,6,0)</f>
        <v>Benson Area Ministerial</v>
      </c>
    </row>
    <row r="246" spans="1:6" x14ac:dyDescent="0.2">
      <c r="A246" s="1">
        <v>244</v>
      </c>
      <c r="B246" t="s">
        <v>425</v>
      </c>
      <c r="C246" t="s">
        <v>426</v>
      </c>
      <c r="D246" t="str">
        <f>VLOOKUP(B246,[1]FBCENC_PartnerAgencies_100725_r!$H$2:$K$561,4,0)</f>
        <v>R1026</v>
      </c>
      <c r="E246" t="str">
        <f>VLOOKUP(B246,[1]FBCENC_PartnerAgencies_100725_r!$H$2:$L$561,5,0)</f>
        <v>R1026FP</v>
      </c>
      <c r="F246" t="str">
        <f>VLOOKUP(B246,[1]FBCENC_PartnerAgencies_100725_r!$H$2:$M$561,6,0)</f>
        <v>Bethlehem Baptist Church</v>
      </c>
    </row>
    <row r="247" spans="1:6" x14ac:dyDescent="0.2">
      <c r="A247" s="1">
        <v>245</v>
      </c>
      <c r="B247" t="s">
        <v>427</v>
      </c>
      <c r="C247" t="s">
        <v>428</v>
      </c>
      <c r="D247" t="e">
        <f>VLOOKUP(B247,[1]FBCENC_PartnerAgencies_100725_r!$H$2:$K$561,4,0)</f>
        <v>#N/A</v>
      </c>
      <c r="E247" t="e">
        <f>VLOOKUP(B247,[1]FBCENC_PartnerAgencies_100725_r!$H$2:$L$561,5,0)</f>
        <v>#N/A</v>
      </c>
      <c r="F247" t="e">
        <f>VLOOKUP(B247,[1]FBCENC_PartnerAgencies_100725_r!$H$2:$M$561,6,0)</f>
        <v>#N/A</v>
      </c>
    </row>
    <row r="248" spans="1:6" x14ac:dyDescent="0.2">
      <c r="A248" s="1">
        <v>246</v>
      </c>
      <c r="B248" t="s">
        <v>429</v>
      </c>
      <c r="C248" t="s">
        <v>430</v>
      </c>
      <c r="D248" t="str">
        <f>VLOOKUP(B248,[1]FBCENC_PartnerAgencies_100725_r!$H$2:$K$561,4,0)</f>
        <v>R1032</v>
      </c>
      <c r="E248" t="str">
        <f>VLOOKUP(B248,[1]FBCENC_PartnerAgencies_100725_r!$H$2:$L$561,5,0)</f>
        <v>R1032SK</v>
      </c>
      <c r="F248" t="str">
        <f>VLOOKUP(B248,[1]FBCENC_PartnerAgencies_100725_r!$H$2:$M$561,6,0)</f>
        <v>Bread Basket/Sanford Soup</v>
      </c>
    </row>
    <row r="249" spans="1:6" x14ac:dyDescent="0.2">
      <c r="A249" s="1">
        <v>247</v>
      </c>
      <c r="B249" t="s">
        <v>431</v>
      </c>
      <c r="C249" t="s">
        <v>432</v>
      </c>
      <c r="D249" t="str">
        <f>VLOOKUP(B249,[1]FBCENC_PartnerAgencies_100725_r!$H$2:$K$561,4,0)</f>
        <v>R1033</v>
      </c>
      <c r="E249" t="str">
        <f>VLOOKUP(B249,[1]FBCENC_PartnerAgencies_100725_r!$H$2:$L$561,5,0)</f>
        <v>R1033FP</v>
      </c>
      <c r="F249" t="str">
        <f>VLOOKUP(B249,[1]FBCENC_PartnerAgencies_100725_r!$H$2:$M$561,6,0)</f>
        <v>Bread of Life Ministries</v>
      </c>
    </row>
    <row r="250" spans="1:6" x14ac:dyDescent="0.2">
      <c r="A250" s="1">
        <v>248</v>
      </c>
      <c r="B250" t="s">
        <v>433</v>
      </c>
      <c r="C250" t="s">
        <v>5</v>
      </c>
      <c r="D250" t="str">
        <f>VLOOKUP(B250,[1]FBCENC_PartnerAgencies_100725_r!$H$2:$K$561,4,0)</f>
        <v>R1037</v>
      </c>
      <c r="E250" t="str">
        <f>VLOOKUP(B250,[1]FBCENC_PartnerAgencies_100725_r!$H$2:$L$561,5,0)</f>
        <v>R1037FP</v>
      </c>
      <c r="F250" t="str">
        <f>VLOOKUP(B250,[1]FBCENC_PartnerAgencies_100725_r!$H$2:$M$561,6,0)</f>
        <v>Building 323</v>
      </c>
    </row>
    <row r="251" spans="1:6" x14ac:dyDescent="0.2">
      <c r="A251" s="1">
        <v>249</v>
      </c>
      <c r="B251" t="s">
        <v>434</v>
      </c>
      <c r="C251" t="s">
        <v>5</v>
      </c>
      <c r="D251" t="str">
        <f>VLOOKUP(B251,[1]FBCENC_PartnerAgencies_100725_r!$H$2:$K$561,4,0)</f>
        <v>R1039</v>
      </c>
      <c r="E251" t="str">
        <f>VLOOKUP(B251,[1]FBCENC_PartnerAgencies_100725_r!$H$2:$L$561,5,0)</f>
        <v>R1039FP</v>
      </c>
      <c r="F251" t="str">
        <f>VLOOKUP(B251,[1]FBCENC_PartnerAgencies_100725_r!$H$2:$M$561,6,0)</f>
        <v>By Faith Church</v>
      </c>
    </row>
    <row r="252" spans="1:6" x14ac:dyDescent="0.2">
      <c r="A252" s="1">
        <v>250</v>
      </c>
      <c r="B252" t="s">
        <v>435</v>
      </c>
      <c r="C252" t="s">
        <v>5</v>
      </c>
      <c r="D252" t="str">
        <f>VLOOKUP(B252,[1]FBCENC_PartnerAgencies_100725_r!$H$2:$K$561,4,0)</f>
        <v>R1041</v>
      </c>
      <c r="E252" t="str">
        <f>VLOOKUP(B252,[1]FBCENC_PartnerAgencies_100725_r!$H$2:$L$561,5,0)</f>
        <v>R1041FP</v>
      </c>
      <c r="F252" t="str">
        <f>VLOOKUP(B252,[1]FBCENC_PartnerAgencies_100725_r!$H$2:$M$561,6,0)</f>
        <v>Capital Pentacostal Church</v>
      </c>
    </row>
    <row r="253" spans="1:6" x14ac:dyDescent="0.2">
      <c r="A253" s="1">
        <v>251</v>
      </c>
      <c r="B253" t="s">
        <v>436</v>
      </c>
      <c r="C253" t="s">
        <v>437</v>
      </c>
      <c r="D253" t="str">
        <f>VLOOKUP(B253,[1]FBCENC_PartnerAgencies_100725_r!$H$2:$K$561,4,0)</f>
        <v>R1044</v>
      </c>
      <c r="E253" t="str">
        <f>VLOOKUP(B253,[1]FBCENC_PartnerAgencies_100725_r!$H$2:$L$561,5,0)</f>
        <v>R1044FP</v>
      </c>
      <c r="F253" t="str">
        <f>VLOOKUP(B253,[1]FBCENC_PartnerAgencies_100725_r!$H$2:$M$561,6,0)</f>
        <v>Care and Share, Inc.</v>
      </c>
    </row>
    <row r="254" spans="1:6" x14ac:dyDescent="0.2">
      <c r="A254" s="1">
        <v>252</v>
      </c>
      <c r="B254" t="s">
        <v>438</v>
      </c>
      <c r="C254" t="s">
        <v>439</v>
      </c>
      <c r="D254" t="e">
        <f>VLOOKUP(B254,[1]FBCENC_PartnerAgencies_100725_r!$H$2:$K$561,4,0)</f>
        <v>#N/A</v>
      </c>
      <c r="E254" t="e">
        <f>VLOOKUP(B254,[1]FBCENC_PartnerAgencies_100725_r!$H$2:$L$561,5,0)</f>
        <v>#N/A</v>
      </c>
      <c r="F254" t="e">
        <f>VLOOKUP(B254,[1]FBCENC_PartnerAgencies_100725_r!$H$2:$M$561,6,0)</f>
        <v>#N/A</v>
      </c>
    </row>
    <row r="255" spans="1:6" x14ac:dyDescent="0.2">
      <c r="A255" s="1">
        <v>253</v>
      </c>
      <c r="B255" t="s">
        <v>440</v>
      </c>
      <c r="C255" t="s">
        <v>441</v>
      </c>
      <c r="D255" t="str">
        <f>VLOOKUP(B255,[1]FBCENC_PartnerAgencies_100725_r!$H$2:$K$561,4,0)</f>
        <v>R1056</v>
      </c>
      <c r="E255" t="str">
        <f>VLOOKUP(B255,[1]FBCENC_PartnerAgencies_100725_r!$H$2:$L$561,5,0)</f>
        <v>R1056FP</v>
      </c>
      <c r="F255" t="str">
        <f>VLOOKUP(B255,[1]FBCENC_PartnerAgencies_100725_r!$H$2:$M$561,6,0)</f>
        <v>Christ Community United</v>
      </c>
    </row>
    <row r="256" spans="1:6" x14ac:dyDescent="0.2">
      <c r="A256" s="1">
        <v>254</v>
      </c>
      <c r="B256" t="s">
        <v>442</v>
      </c>
      <c r="C256" t="s">
        <v>5</v>
      </c>
      <c r="D256" t="str">
        <f>VLOOKUP(B256,[1]FBCENC_PartnerAgencies_100725_r!$H$2:$K$561,4,0)</f>
        <v>R1058</v>
      </c>
      <c r="E256" t="str">
        <f>VLOOKUP(B256,[1]FBCENC_PartnerAgencies_100725_r!$H$2:$L$561,5,0)</f>
        <v>R1058FP</v>
      </c>
      <c r="F256" t="str">
        <f>VLOOKUP(B256,[1]FBCENC_PartnerAgencies_100725_r!$H$2:$M$561,6,0)</f>
        <v>Christian Faith Ministries</v>
      </c>
    </row>
    <row r="257" spans="1:6" x14ac:dyDescent="0.2">
      <c r="A257" s="1">
        <v>255</v>
      </c>
      <c r="B257" t="s">
        <v>443</v>
      </c>
      <c r="C257" t="s">
        <v>5</v>
      </c>
      <c r="D257" t="str">
        <f>VLOOKUP(B257,[1]FBCENC_PartnerAgencies_100725_r!$H$2:$K$561,4,0)</f>
        <v>R1060</v>
      </c>
      <c r="E257" t="str">
        <f>VLOOKUP(B257,[1]FBCENC_PartnerAgencies_100725_r!$H$2:$L$561,5,0)</f>
        <v>R1060FP</v>
      </c>
      <c r="F257" t="str">
        <f>VLOOKUP(B257,[1]FBCENC_PartnerAgencies_100725_r!$H$2:$M$561,6,0)</f>
        <v>Christians United Outreach Center of Lee County</v>
      </c>
    </row>
    <row r="258" spans="1:6" x14ac:dyDescent="0.2">
      <c r="A258" s="1">
        <v>256</v>
      </c>
      <c r="B258" t="s">
        <v>444</v>
      </c>
      <c r="C258" t="s">
        <v>445</v>
      </c>
      <c r="D258" t="str">
        <f>VLOOKUP(B258,[1]FBCENC_PartnerAgencies_100725_r!$H$2:$K$561,4,0)</f>
        <v>R1061</v>
      </c>
      <c r="E258" t="str">
        <f>VLOOKUP(B258,[1]FBCENC_PartnerAgencies_100725_r!$H$2:$L$561,5,0)</f>
        <v>R1061FP</v>
      </c>
      <c r="F258" t="str">
        <f>VLOOKUP(B258,[1]FBCENC_PartnerAgencies_100725_r!$H$2:$M$561,6,0)</f>
        <v>Church of God of Prophecy</v>
      </c>
    </row>
    <row r="259" spans="1:6" x14ac:dyDescent="0.2">
      <c r="A259" s="1">
        <v>257</v>
      </c>
      <c r="B259" t="s">
        <v>446</v>
      </c>
      <c r="C259" t="s">
        <v>447</v>
      </c>
      <c r="D259" t="str">
        <f>VLOOKUP(B259,[1]FBCENC_PartnerAgencies_100725_r!$H$2:$K$561,4,0)</f>
        <v>R1062</v>
      </c>
      <c r="E259" t="str">
        <f>VLOOKUP(B259,[1]FBCENC_PartnerAgencies_100725_r!$H$2:$L$561,5,0)</f>
        <v>R1062FP</v>
      </c>
      <c r="F259" t="str">
        <f>VLOOKUP(B259,[1]FBCENC_PartnerAgencies_100725_r!$H$2:$M$561,6,0)</f>
        <v>Church of God-Sermon del Monte</v>
      </c>
    </row>
    <row r="260" spans="1:6" x14ac:dyDescent="0.2">
      <c r="A260" s="1">
        <v>258</v>
      </c>
      <c r="B260" t="s">
        <v>448</v>
      </c>
      <c r="C260" t="s">
        <v>449</v>
      </c>
      <c r="D260" t="str">
        <f>VLOOKUP(B260,[1]FBCENC_PartnerAgencies_100725_r!$H$2:$K$561,4,0)</f>
        <v>R1066</v>
      </c>
      <c r="E260" t="str">
        <f>VLOOKUP(B260,[1]FBCENC_PartnerAgencies_100725_r!$H$2:$L$561,5,0)</f>
        <v>R1066FP</v>
      </c>
      <c r="F260" t="str">
        <f>VLOOKUP(B260,[1]FBCENC_PartnerAgencies_100725_r!$H$2:$M$561,6,0)</f>
        <v>Clayton Area Ministries</v>
      </c>
    </row>
    <row r="261" spans="1:6" x14ac:dyDescent="0.2">
      <c r="A261" s="1">
        <v>259</v>
      </c>
      <c r="B261" t="s">
        <v>450</v>
      </c>
      <c r="C261" t="s">
        <v>451</v>
      </c>
      <c r="D261" t="str">
        <f>VLOOKUP(B261,[1]FBCENC_PartnerAgencies_100725_r!$H$2:$K$561,4,0)</f>
        <v>R1068</v>
      </c>
      <c r="E261" t="str">
        <f>VLOOKUP(B261,[1]FBCENC_PartnerAgencies_100725_r!$H$2:$L$561,5,0)</f>
        <v>R1068DD</v>
      </c>
      <c r="F261" t="str">
        <f>VLOOKUP(B261,[1]FBCENC_PartnerAgencies_100725_r!$H$2:$M$561,6,0)</f>
        <v>Clinton (St. Stephens Church)</v>
      </c>
    </row>
    <row r="262" spans="1:6" x14ac:dyDescent="0.2">
      <c r="A262" s="1">
        <v>260</v>
      </c>
      <c r="B262" t="s">
        <v>452</v>
      </c>
      <c r="C262" t="s">
        <v>453</v>
      </c>
      <c r="D262" t="str">
        <f>VLOOKUP(B262,[1]FBCENC_PartnerAgencies_100725_r!$H$2:$K$561,4,0)</f>
        <v>R1073</v>
      </c>
      <c r="E262" t="str">
        <f>VLOOKUP(B262,[1]FBCENC_PartnerAgencies_100725_r!$H$2:$L$561,5,0)</f>
        <v>R1073FP</v>
      </c>
      <c r="F262" t="str">
        <f>VLOOKUP(B262,[1]FBCENC_PartnerAgencies_100725_r!$H$2:$M$561,6,0)</f>
        <v>Community Helpers Service</v>
      </c>
    </row>
    <row r="263" spans="1:6" x14ac:dyDescent="0.2">
      <c r="A263" s="1">
        <v>261</v>
      </c>
      <c r="B263" t="s">
        <v>454</v>
      </c>
      <c r="C263" t="s">
        <v>455</v>
      </c>
      <c r="D263" t="str">
        <f>VLOOKUP(B263,[1]FBCENC_PartnerAgencies_100725_r!$H$2:$K$561,4,0)</f>
        <v>R1074</v>
      </c>
      <c r="E263" t="str">
        <f>VLOOKUP(B263,[1]FBCENC_PartnerAgencies_100725_r!$H$2:$L$561,5,0)</f>
        <v>R1074FP</v>
      </c>
      <c r="F263" t="str">
        <f>VLOOKUP(B263,[1]FBCENC_PartnerAgencies_100725_r!$H$2:$M$561,6,0)</f>
        <v>Community of Hope Ministries</v>
      </c>
    </row>
    <row r="264" spans="1:6" x14ac:dyDescent="0.2">
      <c r="A264" s="1">
        <v>262</v>
      </c>
      <c r="B264" t="s">
        <v>456</v>
      </c>
      <c r="C264" t="s">
        <v>5</v>
      </c>
      <c r="D264" t="str">
        <f>VLOOKUP(B264,[1]FBCENC_PartnerAgencies_100725_r!$H$2:$K$561,4,0)</f>
        <v>R1075</v>
      </c>
      <c r="E264" t="str">
        <f>VLOOKUP(B264,[1]FBCENC_PartnerAgencies_100725_r!$H$2:$L$561,5,0)</f>
        <v>R1075FP</v>
      </c>
      <c r="F264" t="str">
        <f>VLOOKUP(B264,[1]FBCENC_PartnerAgencies_100725_r!$H$2:$M$561,6,0)</f>
        <v>Comunidad Cristiana Hosanna</v>
      </c>
    </row>
    <row r="265" spans="1:6" x14ac:dyDescent="0.2">
      <c r="A265" s="1">
        <v>263</v>
      </c>
      <c r="B265" t="s">
        <v>457</v>
      </c>
      <c r="C265" t="s">
        <v>235</v>
      </c>
      <c r="D265" t="str">
        <f>VLOOKUP(B265,[1]FBCENC_PartnerAgencies_100725_r!$H$2:$K$561,4,0)</f>
        <v>R1076</v>
      </c>
      <c r="E265" t="str">
        <f>VLOOKUP(B265,[1]FBCENC_PartnerAgencies_100725_r!$H$2:$L$561,5,0)</f>
        <v>R1076FP</v>
      </c>
      <c r="F265" t="str">
        <f>VLOOKUP(B265,[1]FBCENC_PartnerAgencies_100725_r!$H$2:$M$561,6,0)</f>
        <v>Concerned Citizens Of Tillery</v>
      </c>
    </row>
    <row r="266" spans="1:6" x14ac:dyDescent="0.2">
      <c r="A266" s="1">
        <v>264</v>
      </c>
      <c r="B266" t="s">
        <v>458</v>
      </c>
      <c r="C266" t="s">
        <v>459</v>
      </c>
      <c r="D266" t="str">
        <f>VLOOKUP(B266,[1]FBCENC_PartnerAgencies_100725_r!$H$2:$K$561,4,0)</f>
        <v>R1078</v>
      </c>
      <c r="E266" t="str">
        <f>VLOOKUP(B266,[1]FBCENC_PartnerAgencies_100725_r!$H$2:$L$561,5,0)</f>
        <v>R1078FP</v>
      </c>
      <c r="F266" t="str">
        <f>VLOOKUP(B266,[1]FBCENC_PartnerAgencies_100725_r!$H$2:$M$561,6,0)</f>
        <v>Covenant Life Church</v>
      </c>
    </row>
    <row r="267" spans="1:6" x14ac:dyDescent="0.2">
      <c r="A267" s="1">
        <v>265</v>
      </c>
      <c r="B267" t="s">
        <v>460</v>
      </c>
      <c r="C267" t="s">
        <v>5</v>
      </c>
      <c r="D267" t="str">
        <f>VLOOKUP(B267,[1]FBCENC_PartnerAgencies_100725_r!$H$2:$K$561,4,0)</f>
        <v>R1079</v>
      </c>
      <c r="E267" t="str">
        <f>VLOOKUP(B267,[1]FBCENC_PartnerAgencies_100725_r!$H$2:$L$561,5,0)</f>
        <v>R1079FP</v>
      </c>
      <c r="F267" t="str">
        <f>VLOOKUP(B267,[1]FBCENC_PartnerAgencies_100725_r!$H$2:$M$561,6,0)</f>
        <v>Crabtree Valley Baptist Church</v>
      </c>
    </row>
    <row r="268" spans="1:6" x14ac:dyDescent="0.2">
      <c r="A268" s="1">
        <v>266</v>
      </c>
      <c r="B268" t="s">
        <v>461</v>
      </c>
      <c r="C268" t="s">
        <v>462</v>
      </c>
      <c r="D268" t="str">
        <f>VLOOKUP(B268,[1]FBCENC_PartnerAgencies_100725_r!$H$2:$K$561,4,0)</f>
        <v>R1103</v>
      </c>
      <c r="E268" t="str">
        <f>VLOOKUP(B268,[1]FBCENC_PartnerAgencies_100725_r!$H$2:$L$561,5,0)</f>
        <v>R1103FP</v>
      </c>
      <c r="F268" t="str">
        <f>VLOOKUP(B268,[1]FBCENC_PartnerAgencies_100725_r!$H$2:$M$561,6,0)</f>
        <v>Dorcas Ministries</v>
      </c>
    </row>
    <row r="269" spans="1:6" x14ac:dyDescent="0.2">
      <c r="A269" s="1">
        <v>267</v>
      </c>
      <c r="B269" t="s">
        <v>463</v>
      </c>
      <c r="C269" t="s">
        <v>464</v>
      </c>
      <c r="D269" t="str">
        <f>VLOOKUP(B269,[1]FBCENC_PartnerAgencies_100725_r!$H$2:$K$561,4,0)</f>
        <v>R1107</v>
      </c>
      <c r="E269" t="str">
        <f>VLOOKUP(B269,[1]FBCENC_PartnerAgencies_100725_r!$H$2:$L$561,5,0)</f>
        <v>R1107FB5</v>
      </c>
      <c r="F269" t="str">
        <f>VLOOKUP(B269,[1]FBCENC_PartnerAgencies_100725_r!$H$2:$M$561,6,0)</f>
        <v>Duplin Christian Outreach, Faith by Grace</v>
      </c>
    </row>
    <row r="270" spans="1:6" x14ac:dyDescent="0.2">
      <c r="A270" s="1">
        <v>268</v>
      </c>
      <c r="B270" t="s">
        <v>465</v>
      </c>
      <c r="C270" t="s">
        <v>466</v>
      </c>
      <c r="D270" t="str">
        <f>VLOOKUP(B270,[1]FBCENC_PartnerAgencies_100725_r!$H$2:$K$561,4,0)</f>
        <v>R1107</v>
      </c>
      <c r="E270" t="str">
        <f>VLOOKUP(B270,[1]FBCENC_PartnerAgencies_100725_r!$H$2:$L$561,5,0)</f>
        <v>R1107FP1</v>
      </c>
      <c r="F270" t="str">
        <f>VLOOKUP(B270,[1]FBCENC_PartnerAgencies_100725_r!$H$2:$M$561,6,0)</f>
        <v>Duplin Christian Outreach - Helping Hands</v>
      </c>
    </row>
    <row r="271" spans="1:6" x14ac:dyDescent="0.2">
      <c r="A271" s="1">
        <v>269</v>
      </c>
      <c r="B271" t="s">
        <v>467</v>
      </c>
      <c r="C271" t="s">
        <v>468</v>
      </c>
      <c r="D271" t="str">
        <f>VLOOKUP(B271,[1]FBCENC_PartnerAgencies_100725_r!$H$2:$K$561,4,0)</f>
        <v>R1107</v>
      </c>
      <c r="E271" t="str">
        <f>VLOOKUP(B271,[1]FBCENC_PartnerAgencies_100725_r!$H$2:$L$561,5,0)</f>
        <v>R1107FP3</v>
      </c>
      <c r="F271" t="str">
        <f>VLOOKUP(B271,[1]FBCENC_PartnerAgencies_100725_r!$H$2:$M$561,6,0)</f>
        <v>Duplin Christian Outreach</v>
      </c>
    </row>
    <row r="272" spans="1:6" x14ac:dyDescent="0.2">
      <c r="A272" s="1">
        <v>270</v>
      </c>
      <c r="B272" t="s">
        <v>469</v>
      </c>
      <c r="C272" t="s">
        <v>37</v>
      </c>
      <c r="D272" t="str">
        <f>VLOOKUP(B272,[1]FBCENC_PartnerAgencies_100725_r!$H$2:$K$561,4,0)</f>
        <v>R1107</v>
      </c>
      <c r="E272" t="str">
        <f>VLOOKUP(B272,[1]FBCENC_PartnerAgencies_100725_r!$H$2:$L$561,5,0)</f>
        <v>R1107FP6</v>
      </c>
      <c r="F272" t="str">
        <f>VLOOKUP(B272,[1]FBCENC_PartnerAgencies_100725_r!$H$2:$M$561,6,0)</f>
        <v>Duplin Christian Outreach Ministries- Snow Hill</v>
      </c>
    </row>
    <row r="273" spans="1:6" x14ac:dyDescent="0.2">
      <c r="A273" s="1">
        <v>271</v>
      </c>
      <c r="B273" t="s">
        <v>470</v>
      </c>
      <c r="C273" t="s">
        <v>471</v>
      </c>
      <c r="D273" t="str">
        <f>VLOOKUP(B273,[1]FBCENC_PartnerAgencies_100725_r!$H$2:$K$561,4,0)</f>
        <v>R1109</v>
      </c>
      <c r="E273" t="str">
        <f>VLOOKUP(B273,[1]FBCENC_PartnerAgencies_100725_r!$H$2:$L$561,5,0)</f>
        <v>R1109FP</v>
      </c>
      <c r="F273" t="str">
        <f>VLOOKUP(B273,[1]FBCENC_PartnerAgencies_100725_r!$H$2:$M$561,6,0)</f>
        <v>East Duplin Christian Outreach</v>
      </c>
    </row>
    <row r="274" spans="1:6" x14ac:dyDescent="0.2">
      <c r="A274" s="1">
        <v>272</v>
      </c>
      <c r="B274" t="s">
        <v>472</v>
      </c>
      <c r="C274" t="s">
        <v>473</v>
      </c>
      <c r="D274" t="str">
        <f>VLOOKUP(B274,[1]FBCENC_PartnerAgencies_100725_r!$H$2:$K$561,4,0)</f>
        <v>R1114</v>
      </c>
      <c r="E274" t="str">
        <f>VLOOKUP(B274,[1]FBCENC_PartnerAgencies_100725_r!$H$2:$L$561,5,0)</f>
        <v>R1114FP1</v>
      </c>
      <c r="F274" t="str">
        <f>VLOOKUP(B274,[1]FBCENC_PartnerAgencies_100725_r!$H$2:$M$561,6,0)</f>
        <v>Edgerton Memorial UMC</v>
      </c>
    </row>
    <row r="275" spans="1:6" x14ac:dyDescent="0.2">
      <c r="A275" s="1">
        <v>273</v>
      </c>
      <c r="B275" t="s">
        <v>474</v>
      </c>
      <c r="C275" t="s">
        <v>475</v>
      </c>
      <c r="D275" t="str">
        <f>VLOOKUP(B275,[1]FBCENC_PartnerAgencies_100725_r!$H$2:$K$561,4,0)</f>
        <v>R1117</v>
      </c>
      <c r="E275" t="str">
        <f>VLOOKUP(B275,[1]FBCENC_PartnerAgencies_100725_r!$H$2:$L$561,5,0)</f>
        <v>R1117FP</v>
      </c>
      <c r="F275" t="str">
        <f>VLOOKUP(B275,[1]FBCENC_PartnerAgencies_100725_r!$H$2:$M$561,6,0)</f>
        <v>Emmanuel Hispanic Pentecostal</v>
      </c>
    </row>
    <row r="276" spans="1:6" x14ac:dyDescent="0.2">
      <c r="A276" s="1">
        <v>274</v>
      </c>
      <c r="B276" t="s">
        <v>476</v>
      </c>
      <c r="C276" t="s">
        <v>477</v>
      </c>
      <c r="D276" t="str">
        <f>VLOOKUP(B276,[1]FBCENC_PartnerAgencies_100725_r!$H$2:$K$561,4,0)</f>
        <v>R1122</v>
      </c>
      <c r="E276" t="str">
        <f>VLOOKUP(B276,[1]FBCENC_PartnerAgencies_100725_r!$H$2:$L$561,5,0)</f>
        <v>R1122FP</v>
      </c>
      <c r="F276" t="str">
        <f>VLOOKUP(B276,[1]FBCENC_PartnerAgencies_100725_r!$H$2:$M$561,6,0)</f>
        <v>Faith Missionary Baptist</v>
      </c>
    </row>
    <row r="277" spans="1:6" x14ac:dyDescent="0.2">
      <c r="A277" s="1">
        <v>275</v>
      </c>
      <c r="B277" t="s">
        <v>478</v>
      </c>
      <c r="C277" t="s">
        <v>479</v>
      </c>
      <c r="D277" t="str">
        <f>VLOOKUP(B277,[1]FBCENC_PartnerAgencies_100725_r!$H$2:$K$561,4,0)</f>
        <v>R1123</v>
      </c>
      <c r="E277" t="str">
        <f>VLOOKUP(B277,[1]FBCENC_PartnerAgencies_100725_r!$H$2:$L$561,5,0)</f>
        <v>R1123FP1</v>
      </c>
      <c r="F277" t="str">
        <f>VLOOKUP(B277,[1]FBCENC_PartnerAgencies_100725_r!$H$2:$M$561,6,0)</f>
        <v>Faith Tabernacle Ministry</v>
      </c>
    </row>
    <row r="278" spans="1:6" x14ac:dyDescent="0.2">
      <c r="A278" s="1">
        <v>276</v>
      </c>
      <c r="B278" t="s">
        <v>480</v>
      </c>
      <c r="C278" t="s">
        <v>481</v>
      </c>
      <c r="D278" t="str">
        <f>VLOOKUP(B278,[1]FBCENC_PartnerAgencies_100725_r!$H$2:$K$561,4,0)</f>
        <v>R1129</v>
      </c>
      <c r="E278" t="str">
        <f>VLOOKUP(B278,[1]FBCENC_PartnerAgencies_100725_r!$H$2:$L$561,5,0)</f>
        <v>R1129FP</v>
      </c>
      <c r="F278" t="str">
        <f>VLOOKUP(B278,[1]FBCENC_PartnerAgencies_100725_r!$H$2:$M$561,6,0)</f>
        <v>Fidelity Baptist Church</v>
      </c>
    </row>
    <row r="279" spans="1:6" x14ac:dyDescent="0.2">
      <c r="A279" s="1">
        <v>277</v>
      </c>
      <c r="B279" t="s">
        <v>482</v>
      </c>
      <c r="C279" t="s">
        <v>113</v>
      </c>
      <c r="D279" t="str">
        <f>VLOOKUP(B279,[1]FBCENC_PartnerAgencies_100725_r!$H$2:$K$561,4,0)</f>
        <v>R1130</v>
      </c>
      <c r="E279" t="str">
        <f>VLOOKUP(B279,[1]FBCENC_PartnerAgencies_100725_r!$H$2:$L$561,5,0)</f>
        <v>R1130FP</v>
      </c>
      <c r="F279" t="str">
        <f>VLOOKUP(B279,[1]FBCENC_PartnerAgencies_100725_r!$H$2:$M$561,6,0)</f>
        <v>First Assembly of God Church</v>
      </c>
    </row>
    <row r="280" spans="1:6" x14ac:dyDescent="0.2">
      <c r="A280" s="1">
        <v>278</v>
      </c>
      <c r="B280" t="s">
        <v>483</v>
      </c>
      <c r="C280" t="s">
        <v>484</v>
      </c>
      <c r="D280" t="str">
        <f>VLOOKUP(B280,[1]FBCENC_PartnerAgencies_100725_r!$H$2:$K$561,4,0)</f>
        <v>R1131</v>
      </c>
      <c r="E280" t="str">
        <f>VLOOKUP(B280,[1]FBCENC_PartnerAgencies_100725_r!$H$2:$L$561,5,0)</f>
        <v>R1131FP</v>
      </c>
      <c r="F280" t="str">
        <f>VLOOKUP(B280,[1]FBCENC_PartnerAgencies_100725_r!$H$2:$M$561,6,0)</f>
        <v>First Baptist Church of Smithfield</v>
      </c>
    </row>
    <row r="281" spans="1:6" x14ac:dyDescent="0.2">
      <c r="A281" s="1">
        <v>279</v>
      </c>
      <c r="B281" t="s">
        <v>485</v>
      </c>
      <c r="C281" t="s">
        <v>486</v>
      </c>
      <c r="D281" t="str">
        <f>VLOOKUP(B281,[1]FBCENC_PartnerAgencies_100725_r!$H$2:$K$561,4,0)</f>
        <v>R1133</v>
      </c>
      <c r="E281" t="str">
        <f>VLOOKUP(B281,[1]FBCENC_PartnerAgencies_100725_r!$H$2:$L$561,5,0)</f>
        <v>R1133FP</v>
      </c>
      <c r="F281" t="str">
        <f>VLOOKUP(B281,[1]FBCENC_PartnerAgencies_100725_r!$H$2:$M$561,6,0)</f>
        <v>First Cosmopolitan MBC</v>
      </c>
    </row>
    <row r="282" spans="1:6" x14ac:dyDescent="0.2">
      <c r="A282" s="1">
        <v>280</v>
      </c>
      <c r="B282" t="s">
        <v>487</v>
      </c>
      <c r="C282" t="s">
        <v>488</v>
      </c>
      <c r="D282" t="e">
        <f>VLOOKUP(B282,[1]FBCENC_PartnerAgencies_100725_r!$H$2:$K$561,4,0)</f>
        <v>#N/A</v>
      </c>
      <c r="E282" t="e">
        <f>VLOOKUP(B282,[1]FBCENC_PartnerAgencies_100725_r!$H$2:$L$561,5,0)</f>
        <v>#N/A</v>
      </c>
      <c r="F282" t="e">
        <f>VLOOKUP(B282,[1]FBCENC_PartnerAgencies_100725_r!$H$2:$M$561,6,0)</f>
        <v>#N/A</v>
      </c>
    </row>
    <row r="283" spans="1:6" x14ac:dyDescent="0.2">
      <c r="A283" s="1">
        <v>281</v>
      </c>
      <c r="B283" t="s">
        <v>489</v>
      </c>
      <c r="C283" t="s">
        <v>490</v>
      </c>
      <c r="D283" t="str">
        <f>VLOOKUP(B283,[1]FBCENC_PartnerAgencies_100725_r!$H$2:$K$561,4,0)</f>
        <v>R1156</v>
      </c>
      <c r="E283" t="str">
        <f>VLOOKUP(B283,[1]FBCENC_PartnerAgencies_100725_r!$H$2:$L$561,5,0)</f>
        <v>R1156FP</v>
      </c>
      <c r="F283" t="str">
        <f>VLOOKUP(B283,[1]FBCENC_PartnerAgencies_100725_r!$H$2:$M$561,6,0)</f>
        <v>Fuquay-Varina Emergency</v>
      </c>
    </row>
    <row r="284" spans="1:6" x14ac:dyDescent="0.2">
      <c r="A284" s="1">
        <v>282</v>
      </c>
      <c r="B284" t="s">
        <v>491</v>
      </c>
      <c r="C284" t="s">
        <v>492</v>
      </c>
      <c r="D284" t="str">
        <f>VLOOKUP(B284,[1]FBCENC_PartnerAgencies_100725_r!$H$2:$K$561,4,0)</f>
        <v>R1161</v>
      </c>
      <c r="E284" t="str">
        <f>VLOOKUP(B284,[1]FBCENC_PartnerAgencies_100725_r!$H$2:$L$561,5,0)</f>
        <v>R1161FP</v>
      </c>
      <c r="F284" t="str">
        <f>VLOOKUP(B284,[1]FBCENC_PartnerAgencies_100725_r!$H$2:$M$561,6,0)</f>
        <v>Gibraltar the Remnant Church</v>
      </c>
    </row>
    <row r="285" spans="1:6" x14ac:dyDescent="0.2">
      <c r="A285" s="1">
        <v>283</v>
      </c>
      <c r="B285" t="s">
        <v>493</v>
      </c>
      <c r="C285" t="s">
        <v>494</v>
      </c>
      <c r="D285" t="str">
        <f>VLOOKUP(B285,[1]FBCENC_PartnerAgencies_100725_r!$H$2:$K$561,4,0)</f>
        <v>R1162</v>
      </c>
      <c r="E285" t="str">
        <f>VLOOKUP(B285,[1]FBCENC_PartnerAgencies_100725_r!$H$2:$L$561,5,0)</f>
        <v>R1162FP</v>
      </c>
      <c r="F285" t="str">
        <f>VLOOKUP(B285,[1]FBCENC_PartnerAgencies_100725_r!$H$2:$M$561,6,0)</f>
        <v>Glad Tiding Church Inc</v>
      </c>
    </row>
    <row r="286" spans="1:6" x14ac:dyDescent="0.2">
      <c r="A286" s="1">
        <v>284</v>
      </c>
      <c r="B286" t="s">
        <v>495</v>
      </c>
      <c r="C286" t="s">
        <v>5</v>
      </c>
      <c r="D286" t="str">
        <f>VLOOKUP(B286,[1]FBCENC_PartnerAgencies_100725_r!$H$2:$K$561,4,0)</f>
        <v>R1163</v>
      </c>
      <c r="E286" t="str">
        <f>VLOOKUP(B286,[1]FBCENC_PartnerAgencies_100725_r!$H$2:$L$561,5,0)</f>
        <v>R1163FP</v>
      </c>
      <c r="F286" t="str">
        <f>VLOOKUP(B286,[1]FBCENC_PartnerAgencies_100725_r!$H$2:$M$561,6,0)</f>
        <v>Glad Tidings Gospel Church</v>
      </c>
    </row>
    <row r="287" spans="1:6" x14ac:dyDescent="0.2">
      <c r="A287" s="1">
        <v>285</v>
      </c>
      <c r="B287" t="s">
        <v>496</v>
      </c>
      <c r="C287" t="s">
        <v>497</v>
      </c>
      <c r="D287" t="str">
        <f>VLOOKUP(B287,[1]FBCENC_PartnerAgencies_100725_r!$H$2:$K$561,4,0)</f>
        <v>R1168</v>
      </c>
      <c r="E287" t="str">
        <f>VLOOKUP(B287,[1]FBCENC_PartnerAgencies_100725_r!$H$2:$L$561,5,0)</f>
        <v>R1168FP</v>
      </c>
      <c r="F287" t="str">
        <f>VLOOKUP(B287,[1]FBCENC_PartnerAgencies_100725_r!$H$2:$M$561,6,0)</f>
        <v>Good News Buenas Nuevas</v>
      </c>
    </row>
    <row r="288" spans="1:6" x14ac:dyDescent="0.2">
      <c r="A288" s="1">
        <v>286</v>
      </c>
      <c r="B288" t="s">
        <v>498</v>
      </c>
      <c r="C288" t="s">
        <v>499</v>
      </c>
      <c r="D288" t="str">
        <f>VLOOKUP(B288,[1]FBCENC_PartnerAgencies_100725_r!$H$2:$K$561,4,0)</f>
        <v>R1170</v>
      </c>
      <c r="E288" t="str">
        <f>VLOOKUP(B288,[1]FBCENC_PartnerAgencies_100725_r!$H$2:$L$561,5,0)</f>
        <v>R1170FP1</v>
      </c>
      <c r="F288" t="str">
        <f>VLOOKUP(B288,[1]FBCENC_PartnerAgencies_100725_r!$H$2:$M$561,6,0)</f>
        <v>Greater Joy Missionary Baptist</v>
      </c>
    </row>
    <row r="289" spans="1:6" x14ac:dyDescent="0.2">
      <c r="A289" s="1">
        <v>287</v>
      </c>
      <c r="B289" t="s">
        <v>500</v>
      </c>
      <c r="C289" t="s">
        <v>344</v>
      </c>
      <c r="D289" t="str">
        <f>VLOOKUP(B289,[1]FBCENC_PartnerAgencies_100725_r!$H$2:$K$561,4,0)</f>
        <v>R1170</v>
      </c>
      <c r="E289" t="str">
        <f>VLOOKUP(B289,[1]FBCENC_PartnerAgencies_100725_r!$H$2:$L$561,5,0)</f>
        <v>R1170FP2</v>
      </c>
      <c r="F289" t="str">
        <f>VLOOKUP(B289,[1]FBCENC_PartnerAgencies_100725_r!$H$2:$M$561,6,0)</f>
        <v>Greater Joy North</v>
      </c>
    </row>
    <row r="290" spans="1:6" x14ac:dyDescent="0.2">
      <c r="A290" s="1">
        <v>288</v>
      </c>
      <c r="B290" t="s">
        <v>501</v>
      </c>
      <c r="C290" t="s">
        <v>502</v>
      </c>
      <c r="D290" t="str">
        <f>VLOOKUP(B290,[1]FBCENC_PartnerAgencies_100725_r!$H$2:$K$561,4,0)</f>
        <v>R1170</v>
      </c>
      <c r="E290" t="str">
        <f>VLOOKUP(B290,[1]FBCENC_PartnerAgencies_100725_r!$H$2:$L$561,5,0)</f>
        <v>R1170FP3</v>
      </c>
      <c r="F290" t="str">
        <f>VLOOKUP(B290,[1]FBCENC_PartnerAgencies_100725_r!$H$2:$M$561,6,0)</f>
        <v>Greater Joy Missionary Baptist Church</v>
      </c>
    </row>
    <row r="291" spans="1:6" x14ac:dyDescent="0.2">
      <c r="A291" s="1">
        <v>289</v>
      </c>
      <c r="B291" t="s">
        <v>503</v>
      </c>
      <c r="C291" t="s">
        <v>504</v>
      </c>
      <c r="D291" t="str">
        <f>VLOOKUP(B291,[1]FBCENC_PartnerAgencies_100725_r!$H$2:$K$561,4,0)</f>
        <v>R1179</v>
      </c>
      <c r="E291" t="str">
        <f>VLOOKUP(B291,[1]FBCENC_PartnerAgencies_100725_r!$H$2:$L$561,5,0)</f>
        <v>R1179FP</v>
      </c>
      <c r="F291" t="str">
        <f>VLOOKUP(B291,[1]FBCENC_PartnerAgencies_100725_r!$H$2:$M$561,6,0)</f>
        <v>Harnett Food Pantry</v>
      </c>
    </row>
    <row r="292" spans="1:6" x14ac:dyDescent="0.2">
      <c r="A292" s="1">
        <v>290</v>
      </c>
      <c r="B292" t="s">
        <v>505</v>
      </c>
      <c r="C292" t="s">
        <v>506</v>
      </c>
      <c r="D292" t="str">
        <f>VLOOKUP(B292,[1]FBCENC_PartnerAgencies_100725_r!$H$2:$K$561,4,0)</f>
        <v>R1181</v>
      </c>
      <c r="E292" t="str">
        <f>VLOOKUP(B292,[1]FBCENC_PartnerAgencies_100725_r!$H$2:$L$561,5,0)</f>
        <v>R1181FP1</v>
      </c>
      <c r="F292" t="str">
        <f>VLOOKUP(B292,[1]FBCENC_PartnerAgencies_100725_r!$H$2:$M$561,6,0)</f>
        <v>Harvest Word Ministry</v>
      </c>
    </row>
    <row r="293" spans="1:6" x14ac:dyDescent="0.2">
      <c r="A293" s="1">
        <v>291</v>
      </c>
      <c r="B293" t="s">
        <v>507</v>
      </c>
      <c r="C293" t="s">
        <v>5</v>
      </c>
      <c r="D293" t="str">
        <f>VLOOKUP(B293,[1]FBCENC_PartnerAgencies_100725_r!$H$2:$K$561,4,0)</f>
        <v>R1183</v>
      </c>
      <c r="E293" t="str">
        <f>VLOOKUP(B293,[1]FBCENC_PartnerAgencies_100725_r!$H$2:$L$561,5,0)</f>
        <v>R1183SH1</v>
      </c>
      <c r="F293" t="str">
        <f>VLOOKUP(B293,[1]FBCENC_PartnerAgencies_100725_r!$H$2:$M$561,6,0)</f>
        <v>Healing Transitions</v>
      </c>
    </row>
    <row r="294" spans="1:6" x14ac:dyDescent="0.2">
      <c r="A294" s="1">
        <v>292</v>
      </c>
      <c r="B294" t="s">
        <v>508</v>
      </c>
      <c r="C294" t="s">
        <v>509</v>
      </c>
      <c r="D294" t="str">
        <f>VLOOKUP(B294,[1]FBCENC_PartnerAgencies_100725_r!$H$2:$K$561,4,0)</f>
        <v>R1185</v>
      </c>
      <c r="E294" t="str">
        <f>VLOOKUP(B294,[1]FBCENC_PartnerAgencies_100725_r!$H$2:$L$561,5,0)</f>
        <v>R1185FP</v>
      </c>
      <c r="F294" t="str">
        <f>VLOOKUP(B294,[1]FBCENC_PartnerAgencies_100725_r!$H$2:$M$561,6,0)</f>
        <v>Hearts For Children Intl</v>
      </c>
    </row>
    <row r="295" spans="1:6" x14ac:dyDescent="0.2">
      <c r="A295" s="1">
        <v>293</v>
      </c>
      <c r="B295" t="s">
        <v>510</v>
      </c>
      <c r="C295" t="s">
        <v>5</v>
      </c>
      <c r="D295" t="str">
        <f>VLOOKUP(B295,[1]FBCENC_PartnerAgencies_100725_r!$H$2:$K$561,4,0)</f>
        <v>R1188</v>
      </c>
      <c r="E295" t="str">
        <f>VLOOKUP(B295,[1]FBCENC_PartnerAgencies_100725_r!$H$2:$L$561,5,0)</f>
        <v>R1188FP</v>
      </c>
      <c r="F295" t="str">
        <f>VLOOKUP(B295,[1]FBCENC_PartnerAgencies_100725_r!$H$2:$M$561,6,0)</f>
        <v>Highway Restoration Ministries</v>
      </c>
    </row>
    <row r="296" spans="1:6" x14ac:dyDescent="0.2">
      <c r="A296" s="1">
        <v>294</v>
      </c>
      <c r="B296" t="s">
        <v>511</v>
      </c>
      <c r="C296" t="s">
        <v>5</v>
      </c>
      <c r="D296" t="e">
        <f>VLOOKUP(B296,[1]FBCENC_PartnerAgencies_100725_r!$H$2:$K$561,4,0)</f>
        <v>#N/A</v>
      </c>
      <c r="E296" t="e">
        <f>VLOOKUP(B296,[1]FBCENC_PartnerAgencies_100725_r!$H$2:$L$561,5,0)</f>
        <v>#N/A</v>
      </c>
      <c r="F296" t="e">
        <f>VLOOKUP(B296,[1]FBCENC_PartnerAgencies_100725_r!$H$2:$M$561,6,0)</f>
        <v>#N/A</v>
      </c>
    </row>
    <row r="297" spans="1:6" x14ac:dyDescent="0.2">
      <c r="A297" s="1">
        <v>295</v>
      </c>
      <c r="B297" t="s">
        <v>512</v>
      </c>
      <c r="C297" t="s">
        <v>5</v>
      </c>
      <c r="D297" t="str">
        <f>VLOOKUP(B297,[1]FBCENC_PartnerAgencies_100725_r!$H$2:$K$561,4,0)</f>
        <v>R1195</v>
      </c>
      <c r="E297" t="str">
        <f>VLOOKUP(B297,[1]FBCENC_PartnerAgencies_100725_r!$H$2:$L$561,5,0)</f>
        <v>R1195FP</v>
      </c>
      <c r="F297" t="str">
        <f>VLOOKUP(B297,[1]FBCENC_PartnerAgencies_100725_r!$H$2:$M$561,6,0)</f>
        <v>House of Fordham/Goldsboro</v>
      </c>
    </row>
    <row r="298" spans="1:6" x14ac:dyDescent="0.2">
      <c r="A298" s="1">
        <v>296</v>
      </c>
      <c r="B298" t="s">
        <v>513</v>
      </c>
      <c r="C298" t="s">
        <v>5</v>
      </c>
      <c r="D298" t="str">
        <f>VLOOKUP(B298,[1]FBCENC_PartnerAgencies_100725_r!$H$2:$K$561,4,0)</f>
        <v>R1195</v>
      </c>
      <c r="E298" t="str">
        <f>VLOOKUP(B298,[1]FBCENC_PartnerAgencies_100725_r!$H$2:$L$561,5,0)</f>
        <v>R1195SH</v>
      </c>
      <c r="F298" t="str">
        <f>VLOOKUP(B298,[1]FBCENC_PartnerAgencies_100725_r!$H$2:$M$561,6,0)</f>
        <v>House of Fordham</v>
      </c>
    </row>
    <row r="299" spans="1:6" x14ac:dyDescent="0.2">
      <c r="A299" s="1">
        <v>297</v>
      </c>
      <c r="B299" t="s">
        <v>514</v>
      </c>
      <c r="C299" t="s">
        <v>515</v>
      </c>
      <c r="D299" t="str">
        <f>VLOOKUP(B299,[1]FBCENC_PartnerAgencies_100725_r!$H$2:$K$561,4,0)</f>
        <v>R1197</v>
      </c>
      <c r="E299" t="str">
        <f>VLOOKUP(B299,[1]FBCENC_PartnerAgencies_100725_r!$H$2:$L$561,5,0)</f>
        <v>R1197FP</v>
      </c>
      <c r="F299" t="str">
        <f>VLOOKUP(B299,[1]FBCENC_PartnerAgencies_100725_r!$H$2:$M$561,6,0)</f>
        <v>Iglesia Bethel</v>
      </c>
    </row>
    <row r="300" spans="1:6" x14ac:dyDescent="0.2">
      <c r="A300" s="1">
        <v>298</v>
      </c>
      <c r="B300" t="s">
        <v>516</v>
      </c>
      <c r="C300" t="s">
        <v>517</v>
      </c>
      <c r="D300" t="str">
        <f>VLOOKUP(B300,[1]FBCENC_PartnerAgencies_100725_r!$H$2:$K$561,4,0)</f>
        <v>R1198</v>
      </c>
      <c r="E300" t="str">
        <f>VLOOKUP(B300,[1]FBCENC_PartnerAgencies_100725_r!$H$2:$L$561,5,0)</f>
        <v>R1198FP</v>
      </c>
      <c r="F300" t="str">
        <f>VLOOKUP(B300,[1]FBCENC_PartnerAgencies_100725_r!$H$2:$M$561,6,0)</f>
        <v>Iglesia de Dios Pentecostal</v>
      </c>
    </row>
    <row r="301" spans="1:6" x14ac:dyDescent="0.2">
      <c r="A301" s="1">
        <v>299</v>
      </c>
      <c r="B301" t="s">
        <v>518</v>
      </c>
      <c r="C301" t="s">
        <v>519</v>
      </c>
      <c r="D301" t="str">
        <f>VLOOKUP(B301,[1]FBCENC_PartnerAgencies_100725_r!$H$2:$K$561,4,0)</f>
        <v>R1199</v>
      </c>
      <c r="E301" t="str">
        <f>VLOOKUP(B301,[1]FBCENC_PartnerAgencies_100725_r!$H$2:$L$561,5,0)</f>
        <v>R1199FP</v>
      </c>
      <c r="F301" t="str">
        <f>VLOOKUP(B301,[1]FBCENC_PartnerAgencies_100725_r!$H$2:$M$561,6,0)</f>
        <v>Iglesia La Luz Del Evengelio</v>
      </c>
    </row>
    <row r="302" spans="1:6" x14ac:dyDescent="0.2">
      <c r="A302" s="1">
        <v>300</v>
      </c>
      <c r="B302" t="s">
        <v>520</v>
      </c>
      <c r="C302" t="s">
        <v>521</v>
      </c>
      <c r="D302" t="str">
        <f>VLOOKUP(B302,[1]FBCENC_PartnerAgencies_100725_r!$H$2:$K$561,4,0)</f>
        <v>R1200</v>
      </c>
      <c r="E302" t="str">
        <f>VLOOKUP(B302,[1]FBCENC_PartnerAgencies_100725_r!$H$2:$L$561,5,0)</f>
        <v>R1200FP</v>
      </c>
      <c r="F302" t="str">
        <f>VLOOKUP(B302,[1]FBCENC_PartnerAgencies_100725_r!$H$2:$M$561,6,0)</f>
        <v>Iglesia Pentecostal Jesucristo</v>
      </c>
    </row>
    <row r="303" spans="1:6" x14ac:dyDescent="0.2">
      <c r="A303" s="1">
        <v>301</v>
      </c>
      <c r="B303" t="s">
        <v>522</v>
      </c>
      <c r="C303" t="s">
        <v>523</v>
      </c>
      <c r="D303" t="str">
        <f>VLOOKUP(B303,[1]FBCENC_PartnerAgencies_100725_r!$H$2:$K$561,4,0)</f>
        <v>R1211</v>
      </c>
      <c r="E303" t="str">
        <f>VLOOKUP(B303,[1]FBCENC_PartnerAgencies_100725_r!$H$2:$L$561,5,0)</f>
        <v>R1211FP</v>
      </c>
      <c r="F303" t="str">
        <f>VLOOKUP(B303,[1]FBCENC_PartnerAgencies_100725_r!$H$2:$M$561,6,0)</f>
        <v>Juniper Level</v>
      </c>
    </row>
    <row r="304" spans="1:6" x14ac:dyDescent="0.2">
      <c r="A304" s="1">
        <v>302</v>
      </c>
      <c r="B304" t="s">
        <v>524</v>
      </c>
      <c r="C304" t="s">
        <v>5</v>
      </c>
      <c r="D304" t="str">
        <f>VLOOKUP(B304,[1]FBCENC_PartnerAgencies_100725_r!$H$2:$K$561,4,0)</f>
        <v>R1212</v>
      </c>
      <c r="E304" t="str">
        <f>VLOOKUP(B304,[1]FBCENC_PartnerAgencies_100725_r!$H$2:$L$561,5,0)</f>
        <v>R1212FP</v>
      </c>
      <c r="F304" t="str">
        <f>VLOOKUP(B304,[1]FBCENC_PartnerAgencies_100725_r!$H$2:$M$561,6,0)</f>
        <v>Kenly Area Ministries</v>
      </c>
    </row>
    <row r="305" spans="1:6" x14ac:dyDescent="0.2">
      <c r="A305" s="1">
        <v>303</v>
      </c>
      <c r="B305" t="s">
        <v>525</v>
      </c>
      <c r="C305" t="s">
        <v>526</v>
      </c>
      <c r="D305" t="str">
        <f>VLOOKUP(B305,[1]FBCENC_PartnerAgencies_100725_r!$H$2:$K$561,4,0)</f>
        <v>R1215</v>
      </c>
      <c r="E305" t="str">
        <f>VLOOKUP(B305,[1]FBCENC_PartnerAgencies_100725_r!$H$2:$L$561,5,0)</f>
        <v>R1215FP</v>
      </c>
      <c r="F305" t="str">
        <f>VLOOKUP(B305,[1]FBCENC_PartnerAgencies_100725_r!$H$2:$M$561,6,0)</f>
        <v>Lakeside Lutheran Church</v>
      </c>
    </row>
    <row r="306" spans="1:6" x14ac:dyDescent="0.2">
      <c r="A306" s="1">
        <v>304</v>
      </c>
      <c r="B306" t="s">
        <v>527</v>
      </c>
      <c r="C306" t="s">
        <v>528</v>
      </c>
      <c r="D306" t="str">
        <f>VLOOKUP(B306,[1]FBCENC_PartnerAgencies_100725_r!$H$2:$K$561,4,0)</f>
        <v>R1217</v>
      </c>
      <c r="E306" t="str">
        <f>VLOOKUP(B306,[1]FBCENC_PartnerAgencies_100725_r!$H$2:$L$561,5,0)</f>
        <v>R1217FP</v>
      </c>
      <c r="F306" t="str">
        <f>VLOOKUP(B306,[1]FBCENC_PartnerAgencies_100725_r!$H$2:$M$561,6,0)</f>
        <v>Lifeline Christian Center</v>
      </c>
    </row>
    <row r="307" spans="1:6" x14ac:dyDescent="0.2">
      <c r="A307" s="1">
        <v>305</v>
      </c>
      <c r="B307" t="s">
        <v>529</v>
      </c>
      <c r="C307" t="s">
        <v>5</v>
      </c>
      <c r="D307" t="str">
        <f>VLOOKUP(B307,[1]FBCENC_PartnerAgencies_100725_r!$H$2:$K$561,4,0)</f>
        <v>R1218</v>
      </c>
      <c r="E307" t="str">
        <f>VLOOKUP(B307,[1]FBCENC_PartnerAgencies_100725_r!$H$2:$L$561,5,0)</f>
        <v>R1218FP</v>
      </c>
      <c r="F307" t="str">
        <f>VLOOKUP(B307,[1]FBCENC_PartnerAgencies_100725_r!$H$2:$M$561,6,0)</f>
        <v>Lifeline Outreach/Henderson</v>
      </c>
    </row>
    <row r="308" spans="1:6" x14ac:dyDescent="0.2">
      <c r="A308" s="1">
        <v>306</v>
      </c>
      <c r="B308" t="s">
        <v>530</v>
      </c>
      <c r="C308" t="s">
        <v>531</v>
      </c>
      <c r="D308" t="str">
        <f>VLOOKUP(B308,[1]FBCENC_PartnerAgencies_100725_r!$H$2:$K$561,4,0)</f>
        <v>R1219</v>
      </c>
      <c r="E308" t="str">
        <f>VLOOKUP(B308,[1]FBCENC_PartnerAgencies_100725_r!$H$2:$L$561,5,0)</f>
        <v>R1219DD</v>
      </c>
      <c r="F308" t="str">
        <f>VLOOKUP(B308,[1]FBCENC_PartnerAgencies_100725_r!$H$2:$M$561,6,0)</f>
        <v>Light House Community Center</v>
      </c>
    </row>
    <row r="309" spans="1:6" x14ac:dyDescent="0.2">
      <c r="A309" s="1">
        <v>307</v>
      </c>
      <c r="B309" t="s">
        <v>532</v>
      </c>
      <c r="C309" t="s">
        <v>533</v>
      </c>
      <c r="D309" t="str">
        <f>VLOOKUP(B309,[1]FBCENC_PartnerAgencies_100725_r!$H$2:$K$561,4,0)</f>
        <v>R1221</v>
      </c>
      <c r="E309" t="str">
        <f>VLOOKUP(B309,[1]FBCENC_PartnerAgencies_100725_r!$H$2:$L$561,5,0)</f>
        <v>R1221FP</v>
      </c>
      <c r="F309" t="str">
        <f>VLOOKUP(B309,[1]FBCENC_PartnerAgencies_100725_r!$H$2:$M$561,6,0)</f>
        <v>Loaves and Fishes Ministries</v>
      </c>
    </row>
    <row r="310" spans="1:6" x14ac:dyDescent="0.2">
      <c r="A310" s="1">
        <v>308</v>
      </c>
      <c r="B310" t="s">
        <v>534</v>
      </c>
      <c r="C310" t="s">
        <v>535</v>
      </c>
      <c r="D310" t="str">
        <f>VLOOKUP(B310,[1]FBCENC_PartnerAgencies_100725_r!$H$2:$K$561,4,0)</f>
        <v>R1227</v>
      </c>
      <c r="E310" t="str">
        <f>VLOOKUP(B310,[1]FBCENC_PartnerAgencies_100725_r!$H$2:$L$561,5,0)</f>
        <v>R1227FP</v>
      </c>
      <c r="F310" t="str">
        <f>VLOOKUP(B310,[1]FBCENC_PartnerAgencies_100725_r!$H$2:$M$561,6,0)</f>
        <v>Macedonia New Life</v>
      </c>
    </row>
    <row r="311" spans="1:6" x14ac:dyDescent="0.2">
      <c r="A311" s="1">
        <v>309</v>
      </c>
      <c r="B311" t="s">
        <v>536</v>
      </c>
      <c r="C311" t="s">
        <v>537</v>
      </c>
      <c r="D311" t="e">
        <f>VLOOKUP(B311,[1]FBCENC_PartnerAgencies_100725_r!$H$2:$K$561,4,0)</f>
        <v>#N/A</v>
      </c>
      <c r="E311" t="e">
        <f>VLOOKUP(B311,[1]FBCENC_PartnerAgencies_100725_r!$H$2:$L$561,5,0)</f>
        <v>#N/A</v>
      </c>
      <c r="F311" t="e">
        <f>VLOOKUP(B311,[1]FBCENC_PartnerAgencies_100725_r!$H$2:$M$561,6,0)</f>
        <v>#N/A</v>
      </c>
    </row>
    <row r="312" spans="1:6" x14ac:dyDescent="0.2">
      <c r="A312" s="1">
        <v>310</v>
      </c>
      <c r="B312" t="s">
        <v>538</v>
      </c>
      <c r="C312" t="s">
        <v>539</v>
      </c>
      <c r="D312" t="str">
        <f>VLOOKUP(B312,[1]FBCENC_PartnerAgencies_100725_r!$H$2:$K$561,4,0)</f>
        <v>R1233</v>
      </c>
      <c r="E312" t="str">
        <f>VLOOKUP(B312,[1]FBCENC_PartnerAgencies_100725_r!$H$2:$L$561,5,0)</f>
        <v>R1233FP</v>
      </c>
      <c r="F312" t="str">
        <f>VLOOKUP(B312,[1]FBCENC_PartnerAgencies_100725_r!$H$2:$M$561,6,0)</f>
        <v>Millbrook United Methodist</v>
      </c>
    </row>
    <row r="313" spans="1:6" x14ac:dyDescent="0.2">
      <c r="A313" s="1">
        <v>311</v>
      </c>
      <c r="B313" t="s">
        <v>540</v>
      </c>
      <c r="C313" t="s">
        <v>5</v>
      </c>
      <c r="D313" t="str">
        <f>VLOOKUP(B313,[1]FBCENC_PartnerAgencies_100725_r!$H$2:$K$561,4,0)</f>
        <v>R1240</v>
      </c>
      <c r="E313" t="str">
        <f>VLOOKUP(B313,[1]FBCENC_PartnerAgencies_100725_r!$H$2:$L$561,5,0)</f>
        <v>R1240FP</v>
      </c>
      <c r="F313" t="str">
        <f>VLOOKUP(B313,[1]FBCENC_PartnerAgencies_100725_r!$H$2:$M$561,6,0)</f>
        <v>Mt Zion Community Church</v>
      </c>
    </row>
    <row r="314" spans="1:6" x14ac:dyDescent="0.2">
      <c r="A314" s="1">
        <v>312</v>
      </c>
      <c r="B314" t="s">
        <v>541</v>
      </c>
      <c r="C314" t="s">
        <v>542</v>
      </c>
      <c r="D314" t="e">
        <f>VLOOKUP(B314,[1]FBCENC_PartnerAgencies_100725_r!$H$2:$K$561,4,0)</f>
        <v>#N/A</v>
      </c>
      <c r="E314" t="e">
        <f>VLOOKUP(B314,[1]FBCENC_PartnerAgencies_100725_r!$H$2:$L$561,5,0)</f>
        <v>#N/A</v>
      </c>
      <c r="F314" t="e">
        <f>VLOOKUP(B314,[1]FBCENC_PartnerAgencies_100725_r!$H$2:$M$561,6,0)</f>
        <v>#N/A</v>
      </c>
    </row>
    <row r="315" spans="1:6" x14ac:dyDescent="0.2">
      <c r="A315" s="1">
        <v>313</v>
      </c>
      <c r="B315" t="s">
        <v>543</v>
      </c>
      <c r="C315" t="s">
        <v>544</v>
      </c>
      <c r="D315" t="str">
        <f>VLOOKUP(B315,[1]FBCENC_PartnerAgencies_100725_r!$H$2:$K$561,4,0)</f>
        <v>R1244</v>
      </c>
      <c r="E315" t="str">
        <f>VLOOKUP(B315,[1]FBCENC_PartnerAgencies_100725_r!$H$2:$L$561,5,0)</f>
        <v>R1244FP</v>
      </c>
      <c r="F315" t="str">
        <f>VLOOKUP(B315,[1]FBCENC_PartnerAgencies_100725_r!$H$2:$M$561,6,0)</f>
        <v>NCA Philip Randolph Inst</v>
      </c>
    </row>
    <row r="316" spans="1:6" x14ac:dyDescent="0.2">
      <c r="A316" s="1">
        <v>314</v>
      </c>
      <c r="B316" t="s">
        <v>545</v>
      </c>
      <c r="C316" t="s">
        <v>546</v>
      </c>
      <c r="D316" t="str">
        <f>VLOOKUP(B316,[1]FBCENC_PartnerAgencies_100725_r!$H$2:$K$561,4,0)</f>
        <v>R1246</v>
      </c>
      <c r="E316" t="str">
        <f>VLOOKUP(B316,[1]FBCENC_PartnerAgencies_100725_r!$H$2:$L$561,5,0)</f>
        <v>R1246FP1</v>
      </c>
      <c r="F316" t="str">
        <f>VLOOKUP(B316,[1]FBCENC_PartnerAgencies_100725_r!$H$2:$M$561,6,0)</f>
        <v>NC Love In Action (LIA)</v>
      </c>
    </row>
    <row r="317" spans="1:6" x14ac:dyDescent="0.2">
      <c r="A317" s="1">
        <v>315</v>
      </c>
      <c r="B317" t="s">
        <v>547</v>
      </c>
      <c r="C317" t="s">
        <v>548</v>
      </c>
      <c r="D317" t="e">
        <f>VLOOKUP(B317,[1]FBCENC_PartnerAgencies_100725_r!$H$2:$K$561,4,0)</f>
        <v>#N/A</v>
      </c>
      <c r="E317" t="e">
        <f>VLOOKUP(B317,[1]FBCENC_PartnerAgencies_100725_r!$H$2:$L$561,5,0)</f>
        <v>#N/A</v>
      </c>
      <c r="F317" t="e">
        <f>VLOOKUP(B317,[1]FBCENC_PartnerAgencies_100725_r!$H$2:$M$561,6,0)</f>
        <v>#N/A</v>
      </c>
    </row>
    <row r="318" spans="1:6" x14ac:dyDescent="0.2">
      <c r="A318" s="1">
        <v>316</v>
      </c>
      <c r="B318" t="s">
        <v>549</v>
      </c>
      <c r="C318" t="s">
        <v>550</v>
      </c>
      <c r="D318" t="e">
        <f>VLOOKUP(B318,[1]FBCENC_PartnerAgencies_100725_r!$H$2:$K$561,4,0)</f>
        <v>#N/A</v>
      </c>
      <c r="E318" t="e">
        <f>VLOOKUP(B318,[1]FBCENC_PartnerAgencies_100725_r!$H$2:$L$561,5,0)</f>
        <v>#N/A</v>
      </c>
      <c r="F318" t="e">
        <f>VLOOKUP(B318,[1]FBCENC_PartnerAgencies_100725_r!$H$2:$M$561,6,0)</f>
        <v>#N/A</v>
      </c>
    </row>
    <row r="319" spans="1:6" x14ac:dyDescent="0.2">
      <c r="A319" s="1">
        <v>317</v>
      </c>
      <c r="B319" t="s">
        <v>551</v>
      </c>
      <c r="C319" t="s">
        <v>5</v>
      </c>
      <c r="D319" t="str">
        <f>VLOOKUP(B319,[1]FBCENC_PartnerAgencies_100725_r!$H$2:$K$561,4,0)</f>
        <v>R1252</v>
      </c>
      <c r="E319" t="str">
        <f>VLOOKUP(B319,[1]FBCENC_PartnerAgencies_100725_r!$H$2:$L$561,5,0)</f>
        <v>R1252FP</v>
      </c>
      <c r="F319" t="str">
        <f>VLOOKUP(B319,[1]FBCENC_PartnerAgencies_100725_r!$H$2:$M$561,6,0)</f>
        <v>New Bethel Christian Church</v>
      </c>
    </row>
    <row r="320" spans="1:6" x14ac:dyDescent="0.2">
      <c r="A320" s="1">
        <v>318</v>
      </c>
      <c r="B320" t="s">
        <v>552</v>
      </c>
      <c r="C320" t="s">
        <v>553</v>
      </c>
      <c r="D320" t="str">
        <f>VLOOKUP(B320,[1]FBCENC_PartnerAgencies_100725_r!$H$2:$K$561,4,0)</f>
        <v>R1253</v>
      </c>
      <c r="E320" t="str">
        <f>VLOOKUP(B320,[1]FBCENC_PartnerAgencies_100725_r!$H$2:$L$561,5,0)</f>
        <v>R1253FP</v>
      </c>
      <c r="F320" t="str">
        <f>VLOOKUP(B320,[1]FBCENC_PartnerAgencies_100725_r!$H$2:$M$561,6,0)</f>
        <v>New Birth Holiness Church</v>
      </c>
    </row>
    <row r="321" spans="1:6" x14ac:dyDescent="0.2">
      <c r="A321" s="1">
        <v>319</v>
      </c>
      <c r="B321" t="s">
        <v>554</v>
      </c>
      <c r="C321" t="s">
        <v>555</v>
      </c>
      <c r="D321" t="str">
        <f>VLOOKUP(B321,[1]FBCENC_PartnerAgencies_100725_r!$H$2:$K$561,4,0)</f>
        <v>R1258</v>
      </c>
      <c r="E321" t="str">
        <f>VLOOKUP(B321,[1]FBCENC_PartnerAgencies_100725_r!$H$2:$L$561,5,0)</f>
        <v>R1258FP</v>
      </c>
      <c r="F321" t="str">
        <f>VLOOKUP(B321,[1]FBCENC_PartnerAgencies_100725_r!$H$2:$M$561,6,0)</f>
        <v>New Freedom Christian Fellowship</v>
      </c>
    </row>
    <row r="322" spans="1:6" x14ac:dyDescent="0.2">
      <c r="A322" s="1">
        <v>320</v>
      </c>
      <c r="B322" t="s">
        <v>556</v>
      </c>
      <c r="C322" t="s">
        <v>557</v>
      </c>
      <c r="D322" t="e">
        <f>VLOOKUP(B322,[1]FBCENC_PartnerAgencies_100725_r!$H$2:$K$561,4,0)</f>
        <v>#N/A</v>
      </c>
      <c r="E322" t="e">
        <f>VLOOKUP(B322,[1]FBCENC_PartnerAgencies_100725_r!$H$2:$L$561,5,0)</f>
        <v>#N/A</v>
      </c>
      <c r="F322" t="e">
        <f>VLOOKUP(B322,[1]FBCENC_PartnerAgencies_100725_r!$H$2:$M$561,6,0)</f>
        <v>#N/A</v>
      </c>
    </row>
    <row r="323" spans="1:6" x14ac:dyDescent="0.2">
      <c r="A323" s="1">
        <v>321</v>
      </c>
      <c r="B323" t="s">
        <v>558</v>
      </c>
      <c r="C323" t="s">
        <v>559</v>
      </c>
      <c r="D323" t="str">
        <f>VLOOKUP(B323,[1]FBCENC_PartnerAgencies_100725_r!$H$2:$K$561,4,0)</f>
        <v>R1262</v>
      </c>
      <c r="E323" t="str">
        <f>VLOOKUP(B323,[1]FBCENC_PartnerAgencies_100725_r!$H$2:$L$561,5,0)</f>
        <v>R1262FP</v>
      </c>
      <c r="F323" t="str">
        <f>VLOOKUP(B323,[1]FBCENC_PartnerAgencies_100725_r!$H$2:$M$561,6,0)</f>
        <v>New Life Outreach Ministry</v>
      </c>
    </row>
    <row r="324" spans="1:6" x14ac:dyDescent="0.2">
      <c r="A324" s="1">
        <v>322</v>
      </c>
      <c r="B324" t="s">
        <v>560</v>
      </c>
      <c r="C324" t="s">
        <v>561</v>
      </c>
      <c r="D324" t="str">
        <f>VLOOKUP(B324,[1]FBCENC_PartnerAgencies_100725_r!$H$2:$K$561,4,0)</f>
        <v>R1263</v>
      </c>
      <c r="E324" t="str">
        <f>VLOOKUP(B324,[1]FBCENC_PartnerAgencies_100725_r!$H$2:$L$561,5,0)</f>
        <v>R1263FP</v>
      </c>
      <c r="F324" t="str">
        <f>VLOOKUP(B324,[1]FBCENC_PartnerAgencies_100725_r!$H$2:$M$561,6,0)</f>
        <v>New Providence Missionary</v>
      </c>
    </row>
    <row r="325" spans="1:6" x14ac:dyDescent="0.2">
      <c r="A325" s="1">
        <v>323</v>
      </c>
      <c r="B325" t="s">
        <v>562</v>
      </c>
      <c r="C325" t="s">
        <v>563</v>
      </c>
      <c r="D325" t="str">
        <f>VLOOKUP(B325,[1]FBCENC_PartnerAgencies_100725_r!$H$2:$K$561,4,0)</f>
        <v>R1265</v>
      </c>
      <c r="E325" t="str">
        <f>VLOOKUP(B325,[1]FBCENC_PartnerAgencies_100725_r!$H$2:$L$561,5,0)</f>
        <v>R1265FP</v>
      </c>
      <c r="F325" t="str">
        <f>VLOOKUP(B325,[1]FBCENC_PartnerAgencies_100725_r!$H$2:$M$561,6,0)</f>
        <v>New Vision Christian Church</v>
      </c>
    </row>
    <row r="326" spans="1:6" x14ac:dyDescent="0.2">
      <c r="A326" s="1">
        <v>324</v>
      </c>
      <c r="B326" t="s">
        <v>564</v>
      </c>
      <c r="C326" t="s">
        <v>565</v>
      </c>
      <c r="D326" t="str">
        <f>VLOOKUP(B326,[1]FBCENC_PartnerAgencies_100725_r!$H$2:$K$561,4,0)</f>
        <v>R1266</v>
      </c>
      <c r="E326" t="str">
        <f>VLOOKUP(B326,[1]FBCENC_PartnerAgencies_100725_r!$H$2:$L$561,5,0)</f>
        <v>R1266FP</v>
      </c>
      <c r="F326" t="str">
        <f>VLOOKUP(B326,[1]FBCENC_PartnerAgencies_100725_r!$H$2:$M$561,6,0)</f>
        <v>North Carolina Poverty</v>
      </c>
    </row>
    <row r="327" spans="1:6" x14ac:dyDescent="0.2">
      <c r="A327" s="1">
        <v>325</v>
      </c>
      <c r="B327" t="s">
        <v>566</v>
      </c>
      <c r="C327" t="s">
        <v>509</v>
      </c>
      <c r="D327" t="str">
        <f>VLOOKUP(B327,[1]FBCENC_PartnerAgencies_100725_r!$H$2:$K$561,4,0)</f>
        <v>R1267</v>
      </c>
      <c r="E327" t="str">
        <f>VLOOKUP(B327,[1]FBCENC_PartnerAgencies_100725_r!$H$2:$L$561,5,0)</f>
        <v>R1267FP</v>
      </c>
      <c r="F327" t="str">
        <f>VLOOKUP(B327,[1]FBCENC_PartnerAgencies_100725_r!$H$2:$M$561,6,0)</f>
        <v>North Haven Ministries Inc</v>
      </c>
    </row>
    <row r="328" spans="1:6" x14ac:dyDescent="0.2">
      <c r="A328" s="1">
        <v>326</v>
      </c>
      <c r="B328" t="s">
        <v>567</v>
      </c>
      <c r="C328" t="s">
        <v>568</v>
      </c>
      <c r="D328" t="str">
        <f>VLOOKUP(B328,[1]FBCENC_PartnerAgencies_100725_r!$H$2:$K$561,4,0)</f>
        <v>R1270</v>
      </c>
      <c r="E328" t="str">
        <f>VLOOKUP(B328,[1]FBCENC_PartnerAgencies_100725_r!$H$2:$L$561,5,0)</f>
        <v>R1270FP</v>
      </c>
      <c r="F328" t="str">
        <f>VLOOKUP(B328,[1]FBCENC_PartnerAgencies_100725_r!$H$2:$M$561,6,0)</f>
        <v>Oak Level Christian Church</v>
      </c>
    </row>
    <row r="329" spans="1:6" x14ac:dyDescent="0.2">
      <c r="A329" s="1">
        <v>327</v>
      </c>
      <c r="B329" t="s">
        <v>569</v>
      </c>
      <c r="C329" t="s">
        <v>5</v>
      </c>
      <c r="D329" t="str">
        <f>VLOOKUP(B329,[1]FBCENC_PartnerAgencies_100725_r!$H$2:$K$561,4,0)</f>
        <v>R1277</v>
      </c>
      <c r="E329" t="str">
        <f>VLOOKUP(B329,[1]FBCENC_PartnerAgencies_100725_r!$H$2:$L$561,5,0)</f>
        <v>R1277FP</v>
      </c>
      <c r="F329" t="str">
        <f>VLOOKUP(B329,[1]FBCENC_PartnerAgencies_100725_r!$H$2:$M$561,6,0)</f>
        <v>Open Door Baptist Church</v>
      </c>
    </row>
    <row r="330" spans="1:6" x14ac:dyDescent="0.2">
      <c r="A330" s="1">
        <v>328</v>
      </c>
      <c r="B330" t="s">
        <v>570</v>
      </c>
      <c r="C330" t="s">
        <v>571</v>
      </c>
      <c r="D330" t="str">
        <f>VLOOKUP(B330,[1]FBCENC_PartnerAgencies_100725_r!$H$2:$K$561,4,0)</f>
        <v>R1281</v>
      </c>
      <c r="E330" t="str">
        <f>VLOOKUP(B330,[1]FBCENC_PartnerAgencies_100725_r!$H$2:$L$561,5,0)</f>
        <v>R1281FP</v>
      </c>
      <c r="F330" t="str">
        <f>VLOOKUP(B330,[1]FBCENC_PartnerAgencies_100725_r!$H$2:$M$561,6,0)</f>
        <v>Our Lady of Perpetual Church</v>
      </c>
    </row>
    <row r="331" spans="1:6" x14ac:dyDescent="0.2">
      <c r="A331" s="1">
        <v>329</v>
      </c>
      <c r="B331" t="s">
        <v>572</v>
      </c>
      <c r="C331" t="s">
        <v>573</v>
      </c>
      <c r="D331" t="str">
        <f>VLOOKUP(B331,[1]FBCENC_PartnerAgencies_100725_r!$H$2:$K$561,4,0)</f>
        <v>R1287</v>
      </c>
      <c r="E331" t="str">
        <f>VLOOKUP(B331,[1]FBCENC_PartnerAgencies_100725_r!$H$2:$L$561,5,0)</f>
        <v>R1287FP</v>
      </c>
      <c r="F331" t="str">
        <f>VLOOKUP(B331,[1]FBCENC_PartnerAgencies_100725_r!$H$2:$M$561,6,0)</f>
        <v>Pete Norris Ministries Inc</v>
      </c>
    </row>
    <row r="332" spans="1:6" x14ac:dyDescent="0.2">
      <c r="A332" s="1">
        <v>330</v>
      </c>
      <c r="B332" t="s">
        <v>574</v>
      </c>
      <c r="C332" t="s">
        <v>575</v>
      </c>
      <c r="D332" t="str">
        <f>VLOOKUP(B332,[1]FBCENC_PartnerAgencies_100725_r!$H$2:$K$561,4,0)</f>
        <v>R1288</v>
      </c>
      <c r="E332" t="str">
        <f>VLOOKUP(B332,[1]FBCENC_PartnerAgencies_100725_r!$H$2:$L$561,5,0)</f>
        <v>R1288FP</v>
      </c>
      <c r="F332" t="str">
        <f>VLOOKUP(B332,[1]FBCENC_PartnerAgencies_100725_r!$H$2:$M$561,6,0)</f>
        <v>Pleasant Grove Missionary</v>
      </c>
    </row>
    <row r="333" spans="1:6" x14ac:dyDescent="0.2">
      <c r="A333" s="1">
        <v>331</v>
      </c>
      <c r="B333" t="s">
        <v>576</v>
      </c>
      <c r="C333" t="s">
        <v>577</v>
      </c>
      <c r="D333" t="e">
        <f>VLOOKUP(B333,[1]FBCENC_PartnerAgencies_100725_r!$H$2:$K$561,4,0)</f>
        <v>#N/A</v>
      </c>
      <c r="E333" t="e">
        <f>VLOOKUP(B333,[1]FBCENC_PartnerAgencies_100725_r!$H$2:$L$561,5,0)</f>
        <v>#N/A</v>
      </c>
      <c r="F333" t="e">
        <f>VLOOKUP(B333,[1]FBCENC_PartnerAgencies_100725_r!$H$2:$M$561,6,0)</f>
        <v>#N/A</v>
      </c>
    </row>
    <row r="334" spans="1:6" x14ac:dyDescent="0.2">
      <c r="A334" s="1">
        <v>332</v>
      </c>
      <c r="B334" t="s">
        <v>578</v>
      </c>
      <c r="C334" t="s">
        <v>579</v>
      </c>
      <c r="D334" t="str">
        <f>VLOOKUP(B334,[1]FBCENC_PartnerAgencies_100725_r!$H$2:$K$561,4,0)</f>
        <v>R1290</v>
      </c>
      <c r="E334" t="str">
        <f>VLOOKUP(B334,[1]FBCENC_PartnerAgencies_100725_r!$H$2:$L$561,5,0)</f>
        <v>R1290FP</v>
      </c>
      <c r="F334" t="str">
        <f>VLOOKUP(B334,[1]FBCENC_PartnerAgencies_100725_r!$H$2:$M$561,6,0)</f>
        <v>Poplar Springs Christian</v>
      </c>
    </row>
    <row r="335" spans="1:6" x14ac:dyDescent="0.2">
      <c r="A335" s="1">
        <v>333</v>
      </c>
      <c r="B335" t="s">
        <v>580</v>
      </c>
      <c r="C335" t="s">
        <v>581</v>
      </c>
      <c r="D335" t="str">
        <f>VLOOKUP(B335,[1]FBCENC_PartnerAgencies_100725_r!$H$2:$K$561,4,0)</f>
        <v>R1294</v>
      </c>
      <c r="E335" t="str">
        <f>VLOOKUP(B335,[1]FBCENC_PartnerAgencies_100725_r!$H$2:$L$561,5,0)</f>
        <v>R1294FP</v>
      </c>
      <c r="F335" t="str">
        <f>VLOOKUP(B335,[1]FBCENC_PartnerAgencies_100725_r!$H$2:$M$561,6,0)</f>
        <v>Progressive Teamwork Outreach</v>
      </c>
    </row>
    <row r="336" spans="1:6" x14ac:dyDescent="0.2">
      <c r="A336" s="1">
        <v>334</v>
      </c>
      <c r="B336" t="s">
        <v>582</v>
      </c>
      <c r="C336" t="s">
        <v>583</v>
      </c>
      <c r="D336" t="str">
        <f>VLOOKUP(B336,[1]FBCENC_PartnerAgencies_100725_r!$H$2:$K$561,4,0)</f>
        <v>R1298</v>
      </c>
      <c r="E336" t="str">
        <f>VLOOKUP(B336,[1]FBCENC_PartnerAgencies_100725_r!$H$2:$L$561,5,0)</f>
        <v>R1298FP</v>
      </c>
      <c r="F336" t="str">
        <f>VLOOKUP(B336,[1]FBCENC_PartnerAgencies_100725_r!$H$2:$M$561,6,0)</f>
        <v>Raleigh Church of Christ</v>
      </c>
    </row>
    <row r="337" spans="1:6" x14ac:dyDescent="0.2">
      <c r="A337" s="1">
        <v>335</v>
      </c>
      <c r="B337" t="s">
        <v>507</v>
      </c>
      <c r="C337" t="s">
        <v>5</v>
      </c>
      <c r="D337" t="str">
        <f>VLOOKUP(B337,[1]FBCENC_PartnerAgencies_100725_r!$H$2:$K$561,4,0)</f>
        <v>R1183</v>
      </c>
      <c r="E337" t="str">
        <f>VLOOKUP(B337,[1]FBCENC_PartnerAgencies_100725_r!$H$2:$L$561,5,0)</f>
        <v>R1183SH1</v>
      </c>
      <c r="F337" t="str">
        <f>VLOOKUP(B337,[1]FBCENC_PartnerAgencies_100725_r!$H$2:$M$561,6,0)</f>
        <v>Healing Transitions</v>
      </c>
    </row>
    <row r="338" spans="1:6" x14ac:dyDescent="0.2">
      <c r="A338" s="1">
        <v>336</v>
      </c>
      <c r="B338" t="s">
        <v>584</v>
      </c>
      <c r="C338" t="s">
        <v>5</v>
      </c>
      <c r="D338" t="str">
        <f>VLOOKUP(B338,[1]FBCENC_PartnerAgencies_100725_r!$H$2:$K$561,4,0)</f>
        <v>R1303</v>
      </c>
      <c r="E338" t="str">
        <f>VLOOKUP(B338,[1]FBCENC_PartnerAgencies_100725_r!$H$2:$L$561,5,0)</f>
        <v>R1303SK</v>
      </c>
      <c r="F338" t="str">
        <f>VLOOKUP(B338,[1]FBCENC_PartnerAgencies_100725_r!$H$2:$M$561,6,0)</f>
        <v>Raleigh Rescue Mission</v>
      </c>
    </row>
    <row r="339" spans="1:6" x14ac:dyDescent="0.2">
      <c r="A339" s="1">
        <v>337</v>
      </c>
      <c r="B339" t="s">
        <v>585</v>
      </c>
      <c r="C339" t="s">
        <v>586</v>
      </c>
      <c r="D339" t="str">
        <f>VLOOKUP(B339,[1]FBCENC_PartnerAgencies_100725_r!$H$2:$K$561,4,0)</f>
        <v>R1308</v>
      </c>
      <c r="E339" t="str">
        <f>VLOOKUP(B339,[1]FBCENC_PartnerAgencies_100725_r!$H$2:$L$561,5,0)</f>
        <v>R1308FP</v>
      </c>
      <c r="F339" t="str">
        <f>VLOOKUP(B339,[1]FBCENC_PartnerAgencies_100725_r!$H$2:$M$561,6,0)</f>
        <v>Recruiters for Christ Church</v>
      </c>
    </row>
    <row r="340" spans="1:6" x14ac:dyDescent="0.2">
      <c r="A340" s="1">
        <v>338</v>
      </c>
      <c r="B340" t="s">
        <v>587</v>
      </c>
      <c r="C340" t="s">
        <v>588</v>
      </c>
      <c r="D340" t="str">
        <f>VLOOKUP(B340,[1]FBCENC_PartnerAgencies_100725_r!$H$2:$K$561,4,0)</f>
        <v>R1311</v>
      </c>
      <c r="E340" t="str">
        <f>VLOOKUP(B340,[1]FBCENC_PartnerAgencies_100725_r!$H$2:$L$561,5,0)</f>
        <v>R1311FP</v>
      </c>
      <c r="F340" t="str">
        <f>VLOOKUP(B340,[1]FBCENC_PartnerAgencies_100725_r!$H$2:$M$561,6,0)</f>
        <v>Renewal Place</v>
      </c>
    </row>
    <row r="341" spans="1:6" x14ac:dyDescent="0.2">
      <c r="A341" s="1">
        <v>339</v>
      </c>
      <c r="B341" t="s">
        <v>589</v>
      </c>
      <c r="C341" t="s">
        <v>590</v>
      </c>
      <c r="D341" t="str">
        <f>VLOOKUP(B341,[1]FBCENC_PartnerAgencies_100725_r!$H$2:$K$561,4,0)</f>
        <v>R1315</v>
      </c>
      <c r="E341" t="str">
        <f>VLOOKUP(B341,[1]FBCENC_PartnerAgencies_100725_r!$H$2:$L$561,5,0)</f>
        <v>R1315FP</v>
      </c>
      <c r="F341" t="str">
        <f>VLOOKUP(B341,[1]FBCENC_PartnerAgencies_100725_r!$H$2:$M$561,6,0)</f>
        <v>Revelation Missionary</v>
      </c>
    </row>
    <row r="342" spans="1:6" x14ac:dyDescent="0.2">
      <c r="A342" s="1">
        <v>340</v>
      </c>
      <c r="B342" t="s">
        <v>591</v>
      </c>
      <c r="C342" t="s">
        <v>592</v>
      </c>
      <c r="D342" t="str">
        <f>VLOOKUP(B342,[1]FBCENC_PartnerAgencies_100725_r!$H$2:$K$561,4,0)</f>
        <v>R1316</v>
      </c>
      <c r="E342" t="str">
        <f>VLOOKUP(B342,[1]FBCENC_PartnerAgencies_100725_r!$H$2:$L$561,5,0)</f>
        <v>R1316FP</v>
      </c>
      <c r="F342" t="str">
        <f>VLOOKUP(B342,[1]FBCENC_PartnerAgencies_100725_r!$H$2:$M$561,6,0)</f>
        <v>Revival Deliverance Ctr Inc</v>
      </c>
    </row>
    <row r="343" spans="1:6" x14ac:dyDescent="0.2">
      <c r="A343" s="1">
        <v>341</v>
      </c>
      <c r="B343" t="s">
        <v>593</v>
      </c>
      <c r="C343" t="s">
        <v>256</v>
      </c>
      <c r="D343" t="e">
        <f>VLOOKUP(B343,[1]FBCENC_PartnerAgencies_100725_r!$H$2:$K$561,4,0)</f>
        <v>#N/A</v>
      </c>
      <c r="E343" t="e">
        <f>VLOOKUP(B343,[1]FBCENC_PartnerAgencies_100725_r!$H$2:$L$561,5,0)</f>
        <v>#N/A</v>
      </c>
      <c r="F343" t="e">
        <f>VLOOKUP(B343,[1]FBCENC_PartnerAgencies_100725_r!$H$2:$M$561,6,0)</f>
        <v>#N/A</v>
      </c>
    </row>
    <row r="344" spans="1:6" x14ac:dyDescent="0.2">
      <c r="A344" s="1">
        <v>342</v>
      </c>
      <c r="B344" t="s">
        <v>594</v>
      </c>
      <c r="C344" t="s">
        <v>595</v>
      </c>
      <c r="D344" t="str">
        <f>VLOOKUP(B344,[1]FBCENC_PartnerAgencies_100725_r!$H$2:$K$561,4,0)</f>
        <v>R1323</v>
      </c>
      <c r="E344" t="str">
        <f>VLOOKUP(B344,[1]FBCENC_PartnerAgencies_100725_r!$H$2:$L$561,5,0)</f>
        <v>R1323FP</v>
      </c>
      <c r="F344" t="str">
        <f>VLOOKUP(B344,[1]FBCENC_PartnerAgencies_100725_r!$H$2:$M$561,6,0)</f>
        <v>Rock Ministry Inc</v>
      </c>
    </row>
    <row r="345" spans="1:6" x14ac:dyDescent="0.2">
      <c r="A345" s="1">
        <v>343</v>
      </c>
      <c r="B345" t="s">
        <v>596</v>
      </c>
      <c r="C345" t="s">
        <v>597</v>
      </c>
      <c r="D345" t="str">
        <f>VLOOKUP(B345,[1]FBCENC_PartnerAgencies_100725_r!$H$2:$K$561,4,0)</f>
        <v>R1331</v>
      </c>
      <c r="E345" t="str">
        <f>VLOOKUP(B345,[1]FBCENC_PartnerAgencies_100725_r!$H$2:$L$561,5,0)</f>
        <v>R1331FP</v>
      </c>
      <c r="F345" t="str">
        <f>VLOOKUP(B345,[1]FBCENC_PartnerAgencies_100725_r!$H$2:$M$561,6,0)</f>
        <v>Salvation Army-Raleigh</v>
      </c>
    </row>
    <row r="346" spans="1:6" x14ac:dyDescent="0.2">
      <c r="A346" s="1">
        <v>344</v>
      </c>
      <c r="B346" t="s">
        <v>598</v>
      </c>
      <c r="C346" t="s">
        <v>5</v>
      </c>
      <c r="D346" t="str">
        <f>VLOOKUP(B346,[1]FBCENC_PartnerAgencies_100725_r!$H$2:$K$561,4,0)</f>
        <v>R1331</v>
      </c>
      <c r="E346" t="str">
        <f>VLOOKUP(B346,[1]FBCENC_PartnerAgencies_100725_r!$H$2:$L$561,5,0)</f>
        <v>R1331SH</v>
      </c>
      <c r="F346" t="str">
        <f>VLOOKUP(B346,[1]FBCENC_PartnerAgencies_100725_r!$H$2:$M$561,6,0)</f>
        <v>Salvation Army-Raleigh</v>
      </c>
    </row>
    <row r="347" spans="1:6" x14ac:dyDescent="0.2">
      <c r="A347" s="1">
        <v>345</v>
      </c>
      <c r="B347" t="s">
        <v>599</v>
      </c>
      <c r="C347" t="s">
        <v>600</v>
      </c>
      <c r="D347" t="str">
        <f>VLOOKUP(B347,[1]FBCENC_PartnerAgencies_100725_r!$H$2:$K$561,4,0)</f>
        <v>R1331</v>
      </c>
      <c r="E347" t="str">
        <f>VLOOKUP(B347,[1]FBCENC_PartnerAgencies_100725_r!$H$2:$L$561,5,0)</f>
        <v>R1331SK</v>
      </c>
      <c r="F347" t="str">
        <f>VLOOKUP(B347,[1]FBCENC_PartnerAgencies_100725_r!$H$2:$M$561,6,0)</f>
        <v>Salvation Army-Raleigh</v>
      </c>
    </row>
    <row r="348" spans="1:6" x14ac:dyDescent="0.2">
      <c r="A348" s="1">
        <v>346</v>
      </c>
      <c r="B348" t="s">
        <v>601</v>
      </c>
      <c r="C348" t="s">
        <v>5</v>
      </c>
      <c r="D348" t="str">
        <f>VLOOKUP(B348,[1]FBCENC_PartnerAgencies_100725_r!$H$2:$K$561,4,0)</f>
        <v>R1332</v>
      </c>
      <c r="E348" t="str">
        <f>VLOOKUP(B348,[1]FBCENC_PartnerAgencies_100725_r!$H$2:$L$561,5,0)</f>
        <v>R1332FP</v>
      </c>
      <c r="F348" t="str">
        <f>VLOOKUP(B348,[1]FBCENC_PartnerAgencies_100725_r!$H$2:$M$561,6,0)</f>
        <v>Salvation Army-Rocky Mount</v>
      </c>
    </row>
    <row r="349" spans="1:6" x14ac:dyDescent="0.2">
      <c r="A349" s="1">
        <v>347</v>
      </c>
      <c r="B349" t="s">
        <v>602</v>
      </c>
      <c r="C349" t="s">
        <v>603</v>
      </c>
      <c r="D349" t="e">
        <f>VLOOKUP(B349,[1]FBCENC_PartnerAgencies_100725_r!$H$2:$K$561,4,0)</f>
        <v>#N/A</v>
      </c>
      <c r="E349" t="e">
        <f>VLOOKUP(B349,[1]FBCENC_PartnerAgencies_100725_r!$H$2:$L$561,5,0)</f>
        <v>#N/A</v>
      </c>
      <c r="F349" t="e">
        <f>VLOOKUP(B349,[1]FBCENC_PartnerAgencies_100725_r!$H$2:$M$561,6,0)</f>
        <v>#N/A</v>
      </c>
    </row>
    <row r="350" spans="1:6" x14ac:dyDescent="0.2">
      <c r="A350" s="1">
        <v>348</v>
      </c>
      <c r="B350" t="s">
        <v>604</v>
      </c>
      <c r="C350" t="s">
        <v>605</v>
      </c>
      <c r="D350" t="str">
        <f>VLOOKUP(B350,[1]FBCENC_PartnerAgencies_100725_r!$H$2:$K$561,4,0)</f>
        <v>R1334</v>
      </c>
      <c r="E350" t="str">
        <f>VLOOKUP(B350,[1]FBCENC_PartnerAgencies_100725_r!$H$2:$L$561,5,0)</f>
        <v>R1334FP</v>
      </c>
      <c r="F350" t="str">
        <f>VLOOKUP(B350,[1]FBCENC_PartnerAgencies_100725_r!$H$2:$M$561,6,0)</f>
        <v>Samaritan's Shelf</v>
      </c>
    </row>
    <row r="351" spans="1:6" x14ac:dyDescent="0.2">
      <c r="A351" s="1">
        <v>349</v>
      </c>
      <c r="B351" t="s">
        <v>606</v>
      </c>
      <c r="C351" t="s">
        <v>5</v>
      </c>
      <c r="D351" t="str">
        <f>VLOOKUP(B351,[1]FBCENC_PartnerAgencies_100725_r!$H$2:$K$561,4,0)</f>
        <v>R1338</v>
      </c>
      <c r="E351" t="str">
        <f>VLOOKUP(B351,[1]FBCENC_PartnerAgencies_100725_r!$H$2:$L$561,5,0)</f>
        <v>R1338FP1</v>
      </c>
      <c r="F351" t="str">
        <f>VLOOKUP(B351,[1]FBCENC_PartnerAgencies_100725_r!$H$2:$M$561,6,0)</f>
        <v>Save the Family Church</v>
      </c>
    </row>
    <row r="352" spans="1:6" x14ac:dyDescent="0.2">
      <c r="A352" s="1">
        <v>350</v>
      </c>
      <c r="B352" t="s">
        <v>607</v>
      </c>
      <c r="C352" t="s">
        <v>608</v>
      </c>
      <c r="D352" t="str">
        <f>VLOOKUP(B352,[1]FBCENC_PartnerAgencies_100725_r!$H$2:$K$561,4,0)</f>
        <v>R1348</v>
      </c>
      <c r="E352" t="str">
        <f>VLOOKUP(B352,[1]FBCENC_PartnerAgencies_100725_r!$H$2:$L$561,5,0)</f>
        <v>R1348FP</v>
      </c>
      <c r="F352" t="str">
        <f>VLOOKUP(B352,[1]FBCENC_PartnerAgencies_100725_r!$H$2:$M$561,6,0)</f>
        <v>Shiloh Christian Food Pantry</v>
      </c>
    </row>
    <row r="353" spans="1:6" x14ac:dyDescent="0.2">
      <c r="A353" s="1">
        <v>351</v>
      </c>
      <c r="B353" t="s">
        <v>609</v>
      </c>
      <c r="C353" t="s">
        <v>610</v>
      </c>
      <c r="D353" t="e">
        <f>VLOOKUP(B353,[1]FBCENC_PartnerAgencies_100725_r!$H$2:$K$561,4,0)</f>
        <v>#N/A</v>
      </c>
      <c r="E353" t="e">
        <f>VLOOKUP(B353,[1]FBCENC_PartnerAgencies_100725_r!$H$2:$L$561,5,0)</f>
        <v>#N/A</v>
      </c>
      <c r="F353" t="e">
        <f>VLOOKUP(B353,[1]FBCENC_PartnerAgencies_100725_r!$H$2:$M$561,6,0)</f>
        <v>#N/A</v>
      </c>
    </row>
    <row r="354" spans="1:6" x14ac:dyDescent="0.2">
      <c r="A354" s="1">
        <v>352</v>
      </c>
      <c r="B354" t="s">
        <v>611</v>
      </c>
      <c r="C354" t="s">
        <v>612</v>
      </c>
      <c r="D354" t="e">
        <f>VLOOKUP(B354,[1]FBCENC_PartnerAgencies_100725_r!$H$2:$K$561,4,0)</f>
        <v>#N/A</v>
      </c>
      <c r="E354" t="e">
        <f>VLOOKUP(B354,[1]FBCENC_PartnerAgencies_100725_r!$H$2:$L$561,5,0)</f>
        <v>#N/A</v>
      </c>
      <c r="F354" t="e">
        <f>VLOOKUP(B354,[1]FBCENC_PartnerAgencies_100725_r!$H$2:$M$561,6,0)</f>
        <v>#N/A</v>
      </c>
    </row>
    <row r="355" spans="1:6" x14ac:dyDescent="0.2">
      <c r="A355" s="1">
        <v>353</v>
      </c>
      <c r="B355" t="s">
        <v>613</v>
      </c>
      <c r="C355" t="s">
        <v>614</v>
      </c>
      <c r="D355" t="str">
        <f>VLOOKUP(B355,[1]FBCENC_PartnerAgencies_100725_r!$H$2:$K$561,4,0)</f>
        <v>R1356</v>
      </c>
      <c r="E355" t="str">
        <f>VLOOKUP(B355,[1]FBCENC_PartnerAgencies_100725_r!$H$2:$L$561,5,0)</f>
        <v>R1356FP</v>
      </c>
      <c r="F355" t="str">
        <f>VLOOKUP(B355,[1]FBCENC_PartnerAgencies_100725_r!$H$2:$M$561,6,0)</f>
        <v>Saint Anna Freewill Baptist</v>
      </c>
    </row>
    <row r="356" spans="1:6" x14ac:dyDescent="0.2">
      <c r="A356" s="1">
        <v>354</v>
      </c>
      <c r="B356" t="s">
        <v>615</v>
      </c>
      <c r="C356" t="s">
        <v>616</v>
      </c>
      <c r="D356" t="str">
        <f>VLOOKUP(B356,[1]FBCENC_PartnerAgencies_100725_r!$H$2:$K$561,4,0)</f>
        <v>R1359</v>
      </c>
      <c r="E356" t="str">
        <f>VLOOKUP(B356,[1]FBCENC_PartnerAgencies_100725_r!$H$2:$L$561,5,0)</f>
        <v>R1359FP</v>
      </c>
      <c r="F356" t="str">
        <f>VLOOKUP(B356,[1]FBCENC_PartnerAgencies_100725_r!$H$2:$M$561,6,0)</f>
        <v>Saint James Missionary Baptist Church</v>
      </c>
    </row>
    <row r="357" spans="1:6" x14ac:dyDescent="0.2">
      <c r="A357" s="1">
        <v>355</v>
      </c>
      <c r="B357" t="s">
        <v>617</v>
      </c>
      <c r="C357" t="s">
        <v>618</v>
      </c>
      <c r="D357" t="str">
        <f>VLOOKUP(B357,[1]FBCENC_PartnerAgencies_100725_r!$H$2:$K$561,4,0)</f>
        <v>R1360</v>
      </c>
      <c r="E357" t="str">
        <f>VLOOKUP(B357,[1]FBCENC_PartnerAgencies_100725_r!$H$2:$L$561,5,0)</f>
        <v>R1360FP1</v>
      </c>
      <c r="F357" t="str">
        <f>VLOOKUP(B357,[1]FBCENC_PartnerAgencies_100725_r!$H$2:$M$561,6,0)</f>
        <v>Saint Mark Church of Christ</v>
      </c>
    </row>
    <row r="358" spans="1:6" x14ac:dyDescent="0.2">
      <c r="A358" s="1">
        <v>356</v>
      </c>
      <c r="B358" t="s">
        <v>619</v>
      </c>
      <c r="C358" t="s">
        <v>620</v>
      </c>
      <c r="D358" t="str">
        <f>VLOOKUP(B358,[1]FBCENC_PartnerAgencies_100725_r!$H$2:$K$561,4,0)</f>
        <v>R1362</v>
      </c>
      <c r="E358" t="str">
        <f>VLOOKUP(B358,[1]FBCENC_PartnerAgencies_100725_r!$H$2:$L$561,5,0)</f>
        <v>R1362FP</v>
      </c>
      <c r="F358" t="str">
        <f>VLOOKUP(B358,[1]FBCENC_PartnerAgencies_100725_r!$H$2:$M$561,6,0)</f>
        <v>Saint Paul Missionary Baptist Church</v>
      </c>
    </row>
    <row r="359" spans="1:6" x14ac:dyDescent="0.2">
      <c r="A359" s="1">
        <v>357</v>
      </c>
      <c r="B359" t="s">
        <v>621</v>
      </c>
      <c r="C359" t="s">
        <v>622</v>
      </c>
      <c r="D359" t="str">
        <f>VLOOKUP(B359,[1]FBCENC_PartnerAgencies_100725_r!$H$2:$K$561,4,0)</f>
        <v>R1364</v>
      </c>
      <c r="E359" t="str">
        <f>VLOOKUP(B359,[1]FBCENC_PartnerAgencies_100725_r!$H$2:$L$561,5,0)</f>
        <v>R1364FP</v>
      </c>
      <c r="F359" t="str">
        <f>VLOOKUP(B359,[1]FBCENC_PartnerAgencies_100725_r!$H$2:$M$561,6,0)</f>
        <v>State Street Community Church</v>
      </c>
    </row>
    <row r="360" spans="1:6" x14ac:dyDescent="0.2">
      <c r="A360" s="1">
        <v>358</v>
      </c>
      <c r="B360" t="s">
        <v>623</v>
      </c>
      <c r="C360" t="s">
        <v>624</v>
      </c>
      <c r="D360" t="str">
        <f>VLOOKUP(B360,[1]FBCENC_PartnerAgencies_100725_r!$H$2:$K$561,4,0)</f>
        <v>R1365</v>
      </c>
      <c r="E360" t="str">
        <f>VLOOKUP(B360,[1]FBCENC_PartnerAgencies_100725_r!$H$2:$L$561,5,0)</f>
        <v>R1365FP</v>
      </c>
      <c r="F360" t="str">
        <f>VLOOKUP(B360,[1]FBCENC_PartnerAgencies_100725_r!$H$2:$M$561,6,0)</f>
        <v>The Stone Chapel</v>
      </c>
    </row>
    <row r="361" spans="1:6" x14ac:dyDescent="0.2">
      <c r="A361" s="1">
        <v>359</v>
      </c>
      <c r="B361" t="s">
        <v>625</v>
      </c>
      <c r="C361" t="s">
        <v>626</v>
      </c>
      <c r="D361" t="str">
        <f>VLOOKUP(B361,[1]FBCENC_PartnerAgencies_100725_r!$H$2:$K$561,4,0)</f>
        <v>R1367</v>
      </c>
      <c r="E361" t="str">
        <f>VLOOKUP(B361,[1]FBCENC_PartnerAgencies_100725_r!$H$2:$L$561,5,0)</f>
        <v>R1367FP</v>
      </c>
      <c r="F361" t="str">
        <f>VLOOKUP(B361,[1]FBCENC_PartnerAgencies_100725_r!$H$2:$M$561,6,0)</f>
        <v>Sure Promise Christian Church</v>
      </c>
    </row>
    <row r="362" spans="1:6" x14ac:dyDescent="0.2">
      <c r="A362" s="1">
        <v>360</v>
      </c>
      <c r="B362" t="s">
        <v>627</v>
      </c>
      <c r="C362" t="s">
        <v>628</v>
      </c>
      <c r="D362" t="str">
        <f>VLOOKUP(B362,[1]FBCENC_PartnerAgencies_100725_r!$H$2:$K$561,4,0)</f>
        <v>R1370</v>
      </c>
      <c r="E362" t="str">
        <f>VLOOKUP(B362,[1]FBCENC_PartnerAgencies_100725_r!$H$2:$L$561,5,0)</f>
        <v>R1370FP</v>
      </c>
      <c r="F362" t="str">
        <f>VLOOKUP(B362,[1]FBCENC_PartnerAgencies_100725_r!$H$2:$M$561,6,0)</f>
        <v>Temple Emmanuel Gospel Truth</v>
      </c>
    </row>
    <row r="363" spans="1:6" x14ac:dyDescent="0.2">
      <c r="A363" s="1">
        <v>361</v>
      </c>
      <c r="B363" t="s">
        <v>629</v>
      </c>
      <c r="C363" t="s">
        <v>630</v>
      </c>
      <c r="D363" t="str">
        <f>VLOOKUP(B363,[1]FBCENC_PartnerAgencies_100725_r!$H$2:$K$561,4,0)</f>
        <v>R1370</v>
      </c>
      <c r="E363" t="str">
        <f>VLOOKUP(B363,[1]FBCENC_PartnerAgencies_100725_r!$H$2:$L$561,5,0)</f>
        <v>R1370SK</v>
      </c>
      <c r="F363" t="str">
        <f>VLOOKUP(B363,[1]FBCENC_PartnerAgencies_100725_r!$H$2:$M$561,6,0)</f>
        <v>Temple Emmanuel Gospel Truth</v>
      </c>
    </row>
    <row r="364" spans="1:6" x14ac:dyDescent="0.2">
      <c r="A364" s="1">
        <v>362</v>
      </c>
      <c r="B364" t="s">
        <v>631</v>
      </c>
      <c r="C364" t="s">
        <v>5</v>
      </c>
      <c r="D364" t="str">
        <f>VLOOKUP(B364,[1]FBCENC_PartnerAgencies_100725_r!$H$2:$K$561,4,0)</f>
        <v>R1378</v>
      </c>
      <c r="E364" t="str">
        <f>VLOOKUP(B364,[1]FBCENC_PartnerAgencies_100725_r!$H$2:$L$561,5,0)</f>
        <v>R1378FP</v>
      </c>
      <c r="F364" t="str">
        <f>VLOOKUP(B364,[1]FBCENC_PartnerAgencies_100725_r!$H$2:$M$561,6,0)</f>
        <v>The Original Tabernacle of Prayer</v>
      </c>
    </row>
    <row r="365" spans="1:6" x14ac:dyDescent="0.2">
      <c r="A365" s="1">
        <v>363</v>
      </c>
      <c r="B365" t="s">
        <v>569</v>
      </c>
      <c r="C365" t="s">
        <v>5</v>
      </c>
      <c r="D365" t="str">
        <f>VLOOKUP(B365,[1]FBCENC_PartnerAgencies_100725_r!$H$2:$K$561,4,0)</f>
        <v>R1277</v>
      </c>
      <c r="E365" t="str">
        <f>VLOOKUP(B365,[1]FBCENC_PartnerAgencies_100725_r!$H$2:$L$561,5,0)</f>
        <v>R1277FP</v>
      </c>
      <c r="F365" t="str">
        <f>VLOOKUP(B365,[1]FBCENC_PartnerAgencies_100725_r!$H$2:$M$561,6,0)</f>
        <v>Open Door Baptist Church</v>
      </c>
    </row>
    <row r="366" spans="1:6" x14ac:dyDescent="0.2">
      <c r="A366" s="1">
        <v>364</v>
      </c>
      <c r="B366" t="s">
        <v>632</v>
      </c>
      <c r="C366" t="s">
        <v>633</v>
      </c>
      <c r="D366" t="str">
        <f>VLOOKUP(B366,[1]FBCENC_PartnerAgencies_100725_r!$H$2:$K$561,4,0)</f>
        <v>R1381</v>
      </c>
      <c r="E366" t="str">
        <f>VLOOKUP(B366,[1]FBCENC_PartnerAgencies_100725_r!$H$2:$L$561,5,0)</f>
        <v>R1381FP</v>
      </c>
      <c r="F366" t="str">
        <f>VLOOKUP(B366,[1]FBCENC_PartnerAgencies_100725_r!$H$2:$M$561,6,0)</f>
        <v>The Ship Outreach &amp; Comm Cntr</v>
      </c>
    </row>
    <row r="367" spans="1:6" x14ac:dyDescent="0.2">
      <c r="A367" s="1">
        <v>365</v>
      </c>
      <c r="B367" t="s">
        <v>634</v>
      </c>
      <c r="C367" t="s">
        <v>635</v>
      </c>
      <c r="D367" t="str">
        <f>VLOOKUP(B367,[1]FBCENC_PartnerAgencies_100725_r!$H$2:$K$561,4,0)</f>
        <v>R1381</v>
      </c>
      <c r="E367" t="str">
        <f>VLOOKUP(B367,[1]FBCENC_PartnerAgencies_100725_r!$H$2:$L$561,5,0)</f>
        <v>R1381FP1</v>
      </c>
      <c r="F367" t="str">
        <f>VLOOKUP(B367,[1]FBCENC_PartnerAgencies_100725_r!$H$2:$M$561,6,0)</f>
        <v>The Ship Outreach @ Raleigh International Church</v>
      </c>
    </row>
    <row r="368" spans="1:6" x14ac:dyDescent="0.2">
      <c r="A368" s="1">
        <v>366</v>
      </c>
      <c r="B368" t="s">
        <v>636</v>
      </c>
      <c r="C368" t="s">
        <v>622</v>
      </c>
      <c r="D368" t="str">
        <f>VLOOKUP(B368,[1]FBCENC_PartnerAgencies_100725_r!$H$2:$K$561,4,0)</f>
        <v>R1381</v>
      </c>
      <c r="E368" t="str">
        <f>VLOOKUP(B368,[1]FBCENC_PartnerAgencies_100725_r!$H$2:$L$561,5,0)</f>
        <v>R1381FP2</v>
      </c>
      <c r="F368" t="str">
        <f>VLOOKUP(B368,[1]FBCENC_PartnerAgencies_100725_r!$H$2:$M$561,6,0)</f>
        <v>The Ship Outreach @ Storehouse Ministry</v>
      </c>
    </row>
    <row r="369" spans="1:6" x14ac:dyDescent="0.2">
      <c r="A369" s="1">
        <v>367</v>
      </c>
      <c r="B369" t="s">
        <v>637</v>
      </c>
      <c r="C369" t="s">
        <v>638</v>
      </c>
      <c r="D369" t="str">
        <f>VLOOKUP(B369,[1]FBCENC_PartnerAgencies_100725_r!$H$2:$K$561,4,0)</f>
        <v>R1381</v>
      </c>
      <c r="E369" t="str">
        <f>VLOOKUP(B369,[1]FBCENC_PartnerAgencies_100725_r!$H$2:$L$561,5,0)</f>
        <v>R1381FP3</v>
      </c>
      <c r="F369" t="str">
        <f>VLOOKUP(B369,[1]FBCENC_PartnerAgencies_100725_r!$H$2:$M$561,6,0)</f>
        <v>The Ship Outreach @ Cavalry Faith Center</v>
      </c>
    </row>
    <row r="370" spans="1:6" x14ac:dyDescent="0.2">
      <c r="A370" s="1">
        <v>368</v>
      </c>
      <c r="B370" t="s">
        <v>639</v>
      </c>
      <c r="C370" t="s">
        <v>640</v>
      </c>
      <c r="D370" t="str">
        <f>VLOOKUP(B370,[1]FBCENC_PartnerAgencies_100725_r!$H$2:$K$561,4,0)</f>
        <v>R1381</v>
      </c>
      <c r="E370" t="str">
        <f>VLOOKUP(B370,[1]FBCENC_PartnerAgencies_100725_r!$H$2:$L$561,5,0)</f>
        <v>R1381FP4</v>
      </c>
      <c r="F370" t="str">
        <f>VLOOKUP(B370,[1]FBCENC_PartnerAgencies_100725_r!$H$2:$M$561,6,0)</f>
        <v>The Ship Outreach @ Bethany Community Church</v>
      </c>
    </row>
    <row r="371" spans="1:6" x14ac:dyDescent="0.2">
      <c r="A371" s="1">
        <v>369</v>
      </c>
      <c r="B371" t="s">
        <v>641</v>
      </c>
      <c r="C371" t="s">
        <v>642</v>
      </c>
      <c r="D371" t="str">
        <f>VLOOKUP(B371,[1]FBCENC_PartnerAgencies_100725_r!$H$2:$K$561,4,0)</f>
        <v>R1384</v>
      </c>
      <c r="E371" t="str">
        <f>VLOOKUP(B371,[1]FBCENC_PartnerAgencies_100725_r!$H$2:$L$561,5,0)</f>
        <v>R1384FP</v>
      </c>
      <c r="F371" t="str">
        <f>VLOOKUP(B371,[1]FBCENC_PartnerAgencies_100725_r!$H$2:$M$561,6,0)</f>
        <v>Tri-Area Ministry</v>
      </c>
    </row>
    <row r="372" spans="1:6" x14ac:dyDescent="0.2">
      <c r="A372" s="1">
        <v>370</v>
      </c>
      <c r="B372" t="s">
        <v>643</v>
      </c>
      <c r="C372" t="s">
        <v>644</v>
      </c>
      <c r="D372" t="str">
        <f>VLOOKUP(B372,[1]FBCENC_PartnerAgencies_100725_r!$H$2:$K$561,4,0)</f>
        <v>R1386</v>
      </c>
      <c r="E372" t="str">
        <f>VLOOKUP(B372,[1]FBCENC_PartnerAgencies_100725_r!$H$2:$L$561,5,0)</f>
        <v>R1386FP</v>
      </c>
      <c r="F372" t="str">
        <f>VLOOKUP(B372,[1]FBCENC_PartnerAgencies_100725_r!$H$2:$M$561,6,0)</f>
        <v>Truth Foundational Ministries</v>
      </c>
    </row>
    <row r="373" spans="1:6" x14ac:dyDescent="0.2">
      <c r="A373" s="1">
        <v>371</v>
      </c>
      <c r="B373" t="s">
        <v>645</v>
      </c>
      <c r="C373" t="s">
        <v>646</v>
      </c>
      <c r="D373" t="str">
        <f>VLOOKUP(B373,[1]FBCENC_PartnerAgencies_100725_r!$H$2:$K$561,4,0)</f>
        <v>R1389</v>
      </c>
      <c r="E373" t="str">
        <f>VLOOKUP(B373,[1]FBCENC_PartnerAgencies_100725_r!$H$2:$L$561,5,0)</f>
        <v>R1389FP</v>
      </c>
      <c r="F373" t="str">
        <f>VLOOKUP(B373,[1]FBCENC_PartnerAgencies_100725_r!$H$2:$M$561,6,0)</f>
        <v>TWFC Food-4-Life</v>
      </c>
    </row>
    <row r="374" spans="1:6" x14ac:dyDescent="0.2">
      <c r="A374" s="1">
        <v>372</v>
      </c>
      <c r="B374" t="s">
        <v>647</v>
      </c>
      <c r="C374" t="s">
        <v>107</v>
      </c>
      <c r="D374" t="e">
        <f>VLOOKUP(B374,[1]FBCENC_PartnerAgencies_100725_r!$H$2:$K$561,4,0)</f>
        <v>#N/A</v>
      </c>
      <c r="E374" t="e">
        <f>VLOOKUP(B374,[1]FBCENC_PartnerAgencies_100725_r!$H$2:$L$561,5,0)</f>
        <v>#N/A</v>
      </c>
      <c r="F374" t="e">
        <f>VLOOKUP(B374,[1]FBCENC_PartnerAgencies_100725_r!$H$2:$M$561,6,0)</f>
        <v>#N/A</v>
      </c>
    </row>
    <row r="375" spans="1:6" x14ac:dyDescent="0.2">
      <c r="A375" s="1">
        <v>373</v>
      </c>
      <c r="B375" t="s">
        <v>648</v>
      </c>
      <c r="C375" t="s">
        <v>649</v>
      </c>
      <c r="D375" t="str">
        <f>VLOOKUP(B375,[1]FBCENC_PartnerAgencies_100725_r!$H$2:$K$561,4,0)</f>
        <v>R1391</v>
      </c>
      <c r="E375" t="str">
        <f>VLOOKUP(B375,[1]FBCENC_PartnerAgencies_100725_r!$H$2:$L$561,5,0)</f>
        <v>R1391FP</v>
      </c>
      <c r="F375" t="str">
        <f>VLOOKUP(B375,[1]FBCENC_PartnerAgencies_100725_r!$H$2:$M$561,6,0)</f>
        <v>United Community Ministries</v>
      </c>
    </row>
    <row r="376" spans="1:6" x14ac:dyDescent="0.2">
      <c r="A376" s="1">
        <v>374</v>
      </c>
      <c r="B376" t="s">
        <v>650</v>
      </c>
      <c r="C376" t="s">
        <v>651</v>
      </c>
      <c r="D376" t="str">
        <f>VLOOKUP(B376,[1]FBCENC_PartnerAgencies_100725_r!$H$2:$K$561,4,0)</f>
        <v>R1391</v>
      </c>
      <c r="E376" t="str">
        <f>VLOOKUP(B376,[1]FBCENC_PartnerAgencies_100725_r!$H$2:$L$561,5,0)</f>
        <v>R1391SH</v>
      </c>
      <c r="F376" t="str">
        <f>VLOOKUP(B376,[1]FBCENC_PartnerAgencies_100725_r!$H$2:$M$561,6,0)</f>
        <v>United Community Ministries</v>
      </c>
    </row>
    <row r="377" spans="1:6" x14ac:dyDescent="0.2">
      <c r="A377" s="1">
        <v>375</v>
      </c>
      <c r="B377" t="s">
        <v>652</v>
      </c>
      <c r="C377" t="s">
        <v>653</v>
      </c>
      <c r="D377" t="str">
        <f>VLOOKUP(B377,[1]FBCENC_PartnerAgencies_100725_r!$H$2:$K$561,4,0)</f>
        <v>R1391</v>
      </c>
      <c r="E377" t="str">
        <f>VLOOKUP(B377,[1]FBCENC_PartnerAgencies_100725_r!$H$2:$L$561,5,0)</f>
        <v>R1391SK</v>
      </c>
      <c r="F377" t="str">
        <f>VLOOKUP(B377,[1]FBCENC_PartnerAgencies_100725_r!$H$2:$M$561,6,0)</f>
        <v>United Community Ministries</v>
      </c>
    </row>
    <row r="378" spans="1:6" x14ac:dyDescent="0.2">
      <c r="A378" s="1">
        <v>376</v>
      </c>
      <c r="B378" t="s">
        <v>654</v>
      </c>
      <c r="C378" t="s">
        <v>655</v>
      </c>
      <c r="D378" t="str">
        <f>VLOOKUP(B378,[1]FBCENC_PartnerAgencies_100725_r!$H$2:$K$561,4,0)</f>
        <v>R1393</v>
      </c>
      <c r="E378" t="str">
        <f>VLOOKUP(B378,[1]FBCENC_PartnerAgencies_100725_r!$H$2:$L$561,5,0)</f>
        <v>R1393FP</v>
      </c>
      <c r="F378" t="str">
        <f>VLOOKUP(B378,[1]FBCENC_PartnerAgencies_100725_r!$H$2:$M$561,6,0)</f>
        <v>United Solid Rock Faith Ministries</v>
      </c>
    </row>
    <row r="379" spans="1:6" x14ac:dyDescent="0.2">
      <c r="A379" s="1">
        <v>377</v>
      </c>
      <c r="B379" t="s">
        <v>656</v>
      </c>
      <c r="C379" t="s">
        <v>657</v>
      </c>
      <c r="D379" t="str">
        <f>VLOOKUP(B379,[1]FBCENC_PartnerAgencies_100725_r!$H$2:$K$561,4,0)</f>
        <v>R1395</v>
      </c>
      <c r="E379" t="str">
        <f>VLOOKUP(B379,[1]FBCENC_PartnerAgencies_100725_r!$H$2:$L$561,5,0)</f>
        <v>R1395FP</v>
      </c>
      <c r="F379" t="str">
        <f>VLOOKUP(B379,[1]FBCENC_PartnerAgencies_100725_r!$H$2:$M$561,6,0)</f>
        <v>Upper Room Church of God</v>
      </c>
    </row>
    <row r="380" spans="1:6" x14ac:dyDescent="0.2">
      <c r="A380" s="1">
        <v>378</v>
      </c>
      <c r="B380" t="s">
        <v>658</v>
      </c>
      <c r="C380" t="s">
        <v>5</v>
      </c>
      <c r="D380" t="str">
        <f>VLOOKUP(B380,[1]FBCENC_PartnerAgencies_100725_r!$H$2:$K$561,4,0)</f>
        <v>R1396</v>
      </c>
      <c r="E380" t="str">
        <f>VLOOKUP(B380,[1]FBCENC_PartnerAgencies_100725_r!$H$2:$L$561,5,0)</f>
        <v>R1396FP</v>
      </c>
      <c r="F380" t="str">
        <f>VLOOKUP(B380,[1]FBCENC_PartnerAgencies_100725_r!$H$2:$M$561,6,0)</f>
        <v>Urban Ministries of Wake County</v>
      </c>
    </row>
    <row r="381" spans="1:6" x14ac:dyDescent="0.2">
      <c r="A381" s="1">
        <v>379</v>
      </c>
      <c r="B381" t="s">
        <v>659</v>
      </c>
      <c r="C381" t="s">
        <v>5</v>
      </c>
      <c r="D381" t="str">
        <f>VLOOKUP(B381,[1]FBCENC_PartnerAgencies_100725_r!$H$2:$K$561,4,0)</f>
        <v>R1397</v>
      </c>
      <c r="E381" t="str">
        <f>VLOOKUP(B381,[1]FBCENC_PartnerAgencies_100725_r!$H$2:$L$561,5,0)</f>
        <v>R1397FP</v>
      </c>
      <c r="F381" t="str">
        <f>VLOOKUP(B381,[1]FBCENC_PartnerAgencies_100725_r!$H$2:$M$561,6,0)</f>
        <v>Vaughn's Chapel MB Church</v>
      </c>
    </row>
    <row r="382" spans="1:6" x14ac:dyDescent="0.2">
      <c r="A382" s="1">
        <v>380</v>
      </c>
      <c r="B382" t="s">
        <v>660</v>
      </c>
      <c r="C382" t="s">
        <v>5</v>
      </c>
      <c r="D382" t="str">
        <f>VLOOKUP(B382,[1]FBCENC_PartnerAgencies_100725_r!$H$2:$K$561,4,0)</f>
        <v>R1402</v>
      </c>
      <c r="E382" t="str">
        <f>VLOOKUP(B382,[1]FBCENC_PartnerAgencies_100725_r!$H$2:$L$561,5,0)</f>
        <v>R1402FP</v>
      </c>
      <c r="F382" t="str">
        <f>VLOOKUP(B382,[1]FBCENC_PartnerAgencies_100725_r!$H$2:$M$561,6,0)</f>
        <v>Wake Chapel Church</v>
      </c>
    </row>
    <row r="383" spans="1:6" x14ac:dyDescent="0.2">
      <c r="A383" s="1">
        <v>381</v>
      </c>
      <c r="B383" t="s">
        <v>661</v>
      </c>
      <c r="C383" t="s">
        <v>662</v>
      </c>
      <c r="D383" t="str">
        <f>VLOOKUP(B383,[1]FBCENC_PartnerAgencies_100725_r!$H$2:$K$561,4,0)</f>
        <v>R1410</v>
      </c>
      <c r="E383" t="str">
        <f>VLOOKUP(B383,[1]FBCENC_PartnerAgencies_100725_r!$H$2:$L$561,5,0)</f>
        <v>R1410FP</v>
      </c>
      <c r="F383" t="str">
        <f>VLOOKUP(B383,[1]FBCENC_PartnerAgencies_100725_r!$H$2:$M$561,6,0)</f>
        <v>Warsaw Baptist Church</v>
      </c>
    </row>
    <row r="384" spans="1:6" x14ac:dyDescent="0.2">
      <c r="A384" s="1">
        <v>382</v>
      </c>
      <c r="B384" t="s">
        <v>663</v>
      </c>
      <c r="C384" t="s">
        <v>664</v>
      </c>
      <c r="D384" t="str">
        <f>VLOOKUP(B384,[1]FBCENC_PartnerAgencies_100725_r!$H$2:$K$561,4,0)</f>
        <v>R1416</v>
      </c>
      <c r="E384" t="str">
        <f>VLOOKUP(B384,[1]FBCENC_PartnerAgencies_100725_r!$H$2:$L$561,5,0)</f>
        <v>R1416FP</v>
      </c>
      <c r="F384" t="str">
        <f>VLOOKUP(B384,[1]FBCENC_PartnerAgencies_100725_r!$H$2:$M$561,6,0)</f>
        <v>Wendell United Methodist</v>
      </c>
    </row>
    <row r="385" spans="1:6" x14ac:dyDescent="0.2">
      <c r="A385" s="1">
        <v>383</v>
      </c>
      <c r="B385" t="s">
        <v>665</v>
      </c>
      <c r="C385" t="s">
        <v>666</v>
      </c>
      <c r="D385" t="e">
        <f>VLOOKUP(B385,[1]FBCENC_PartnerAgencies_100725_r!$H$2:$K$561,4,0)</f>
        <v>#N/A</v>
      </c>
      <c r="E385" t="e">
        <f>VLOOKUP(B385,[1]FBCENC_PartnerAgencies_100725_r!$H$2:$L$561,5,0)</f>
        <v>#N/A</v>
      </c>
      <c r="F385" t="e">
        <f>VLOOKUP(B385,[1]FBCENC_PartnerAgencies_100725_r!$H$2:$M$561,6,0)</f>
        <v>#N/A</v>
      </c>
    </row>
    <row r="386" spans="1:6" x14ac:dyDescent="0.2">
      <c r="A386" s="1">
        <v>384</v>
      </c>
      <c r="B386" t="s">
        <v>667</v>
      </c>
      <c r="C386" t="s">
        <v>668</v>
      </c>
      <c r="D386" t="e">
        <f>VLOOKUP(B386,[1]FBCENC_PartnerAgencies_100725_r!$H$2:$K$561,4,0)</f>
        <v>#N/A</v>
      </c>
      <c r="E386" t="e">
        <f>VLOOKUP(B386,[1]FBCENC_PartnerAgencies_100725_r!$H$2:$L$561,5,0)</f>
        <v>#N/A</v>
      </c>
      <c r="F386" t="e">
        <f>VLOOKUP(B386,[1]FBCENC_PartnerAgencies_100725_r!$H$2:$M$561,6,0)</f>
        <v>#N/A</v>
      </c>
    </row>
    <row r="387" spans="1:6" x14ac:dyDescent="0.2">
      <c r="A387" s="1">
        <v>385</v>
      </c>
      <c r="B387" t="s">
        <v>669</v>
      </c>
      <c r="C387" t="s">
        <v>670</v>
      </c>
      <c r="D387" t="str">
        <f>VLOOKUP(B387,[1]FBCENC_PartnerAgencies_100725_r!$H$2:$K$561,4,0)</f>
        <v>R1420</v>
      </c>
      <c r="E387" t="str">
        <f>VLOOKUP(B387,[1]FBCENC_PartnerAgencies_100725_r!$H$2:$L$561,5,0)</f>
        <v>R1420FP</v>
      </c>
      <c r="F387" t="str">
        <f>VLOOKUP(B387,[1]FBCENC_PartnerAgencies_100725_r!$H$2:$M$561,6,0)</f>
        <v>Williams Grove Baptist Church</v>
      </c>
    </row>
    <row r="388" spans="1:6" x14ac:dyDescent="0.2">
      <c r="A388" s="1">
        <v>386</v>
      </c>
      <c r="B388" t="s">
        <v>671</v>
      </c>
      <c r="C388" t="s">
        <v>672</v>
      </c>
      <c r="D388" t="e">
        <f>VLOOKUP(B388,[1]FBCENC_PartnerAgencies_100725_r!$H$2:$K$561,4,0)</f>
        <v>#N/A</v>
      </c>
      <c r="E388" t="e">
        <f>VLOOKUP(B388,[1]FBCENC_PartnerAgencies_100725_r!$H$2:$L$561,5,0)</f>
        <v>#N/A</v>
      </c>
      <c r="F388" t="e">
        <f>VLOOKUP(B388,[1]FBCENC_PartnerAgencies_100725_r!$H$2:$M$561,6,0)</f>
        <v>#N/A</v>
      </c>
    </row>
    <row r="389" spans="1:6" x14ac:dyDescent="0.2">
      <c r="A389" s="1">
        <v>387</v>
      </c>
      <c r="B389" t="s">
        <v>673</v>
      </c>
      <c r="C389" t="s">
        <v>674</v>
      </c>
      <c r="D389" t="e">
        <f>VLOOKUP(B389,[1]FBCENC_PartnerAgencies_100725_r!$H$2:$K$561,4,0)</f>
        <v>#N/A</v>
      </c>
      <c r="E389" t="e">
        <f>VLOOKUP(B389,[1]FBCENC_PartnerAgencies_100725_r!$H$2:$L$561,5,0)</f>
        <v>#N/A</v>
      </c>
      <c r="F389" t="e">
        <f>VLOOKUP(B389,[1]FBCENC_PartnerAgencies_100725_r!$H$2:$M$561,6,0)</f>
        <v>#N/A</v>
      </c>
    </row>
    <row r="390" spans="1:6" x14ac:dyDescent="0.2">
      <c r="A390" s="1">
        <v>388</v>
      </c>
      <c r="B390" t="s">
        <v>675</v>
      </c>
      <c r="C390" t="s">
        <v>676</v>
      </c>
      <c r="D390" t="str">
        <f>VLOOKUP(B390,[1]FBCENC_PartnerAgencies_100725_r!$H$2:$K$561,4,0)</f>
        <v>R1424</v>
      </c>
      <c r="E390" t="str">
        <f>VLOOKUP(B390,[1]FBCENC_PartnerAgencies_100725_r!$H$2:$L$561,5,0)</f>
        <v>R1424FP</v>
      </c>
      <c r="F390" t="str">
        <f>VLOOKUP(B390,[1]FBCENC_PartnerAgencies_100725_r!$H$2:$M$561,6,0)</f>
        <v>Word of Faith Ministries Food</v>
      </c>
    </row>
    <row r="391" spans="1:6" x14ac:dyDescent="0.2">
      <c r="A391" s="1">
        <v>389</v>
      </c>
      <c r="B391" t="s">
        <v>677</v>
      </c>
      <c r="C391" t="s">
        <v>678</v>
      </c>
      <c r="D391" t="str">
        <f>VLOOKUP(B391,[1]FBCENC_PartnerAgencies_100725_r!$H$2:$K$561,4,0)</f>
        <v>R1424</v>
      </c>
      <c r="E391" t="str">
        <f>VLOOKUP(B391,[1]FBCENC_PartnerAgencies_100725_r!$H$2:$L$561,5,0)</f>
        <v>R1424MFP</v>
      </c>
      <c r="F391" t="str">
        <f>VLOOKUP(B391,[1]FBCENC_PartnerAgencies_100725_r!$H$2:$M$561,6,0)</f>
        <v>Word of Faith Ministries Food</v>
      </c>
    </row>
    <row r="392" spans="1:6" x14ac:dyDescent="0.2">
      <c r="A392" s="1">
        <v>390</v>
      </c>
      <c r="B392" t="s">
        <v>679</v>
      </c>
      <c r="C392" t="s">
        <v>680</v>
      </c>
      <c r="D392" t="str">
        <f>VLOOKUP(B392,[1]FBCENC_PartnerAgencies_100725_r!$H$2:$K$561,4,0)</f>
        <v>R1425</v>
      </c>
      <c r="E392" t="str">
        <f>VLOOKUP(B392,[1]FBCENC_PartnerAgencies_100725_r!$H$2:$L$561,5,0)</f>
        <v>R1425FP</v>
      </c>
      <c r="F392" t="str">
        <f>VLOOKUP(B392,[1]FBCENC_PartnerAgencies_100725_r!$H$2:$M$561,6,0)</f>
        <v>Word of God Fellowship</v>
      </c>
    </row>
    <row r="393" spans="1:6" x14ac:dyDescent="0.2">
      <c r="A393" s="1">
        <v>391</v>
      </c>
      <c r="B393" t="s">
        <v>681</v>
      </c>
      <c r="C393" t="s">
        <v>682</v>
      </c>
      <c r="D393" t="str">
        <f>VLOOKUP(B393,[1]FBCENC_PartnerAgencies_100725_r!$H$2:$K$561,4,0)</f>
        <v>R1427</v>
      </c>
      <c r="E393" t="str">
        <f>VLOOKUP(B393,[1]FBCENC_PartnerAgencies_100725_r!$H$2:$L$561,5,0)</f>
        <v>R1427FP</v>
      </c>
      <c r="F393" t="str">
        <f>VLOOKUP(B393,[1]FBCENC_PartnerAgencies_100725_r!$H$2:$M$561,6,0)</f>
        <v>Zebulon United Methodist</v>
      </c>
    </row>
    <row r="394" spans="1:6" x14ac:dyDescent="0.2">
      <c r="A394" s="1">
        <v>392</v>
      </c>
      <c r="B394" t="s">
        <v>683</v>
      </c>
      <c r="C394" t="s">
        <v>684</v>
      </c>
      <c r="D394" t="str">
        <f>VLOOKUP(B394,[1]FBCENC_PartnerAgencies_100725_r!$H$2:$K$561,4,0)</f>
        <v>R1467</v>
      </c>
      <c r="E394" t="str">
        <f>VLOOKUP(B394,[1]FBCENC_PartnerAgencies_100725_r!$H$2:$L$561,5,0)</f>
        <v>R1467FP</v>
      </c>
      <c r="F394" t="str">
        <f>VLOOKUP(B394,[1]FBCENC_PartnerAgencies_100725_r!$H$2:$M$561,6,0)</f>
        <v>Building Bridges Without Limits</v>
      </c>
    </row>
    <row r="395" spans="1:6" x14ac:dyDescent="0.2">
      <c r="A395" s="1">
        <v>393</v>
      </c>
      <c r="B395" t="s">
        <v>685</v>
      </c>
      <c r="C395" t="s">
        <v>686</v>
      </c>
      <c r="D395" t="e">
        <f>VLOOKUP(B395,[1]FBCENC_PartnerAgencies_100725_r!$H$2:$K$561,4,0)</f>
        <v>#N/A</v>
      </c>
      <c r="E395" t="e">
        <f>VLOOKUP(B395,[1]FBCENC_PartnerAgencies_100725_r!$H$2:$L$561,5,0)</f>
        <v>#N/A</v>
      </c>
      <c r="F395" t="e">
        <f>VLOOKUP(B395,[1]FBCENC_PartnerAgencies_100725_r!$H$2:$M$561,6,0)</f>
        <v>#N/A</v>
      </c>
    </row>
    <row r="396" spans="1:6" x14ac:dyDescent="0.2">
      <c r="A396" s="1">
        <v>394</v>
      </c>
      <c r="B396" t="s">
        <v>687</v>
      </c>
      <c r="C396" t="s">
        <v>5</v>
      </c>
      <c r="D396" t="str">
        <f>VLOOKUP(B396,[1]FBCENC_PartnerAgencies_100725_r!$H$2:$K$561,4,0)</f>
        <v>R1493</v>
      </c>
      <c r="E396" t="str">
        <f>VLOOKUP(B396,[1]FBCENC_PartnerAgencies_100725_r!$H$2:$L$561,5,0)</f>
        <v>R1493FP</v>
      </c>
      <c r="F396" t="str">
        <f>VLOOKUP(B396,[1]FBCENC_PartnerAgencies_100725_r!$H$2:$M$561,6,0)</f>
        <v>Our Lady of the Rosary Food Pantry</v>
      </c>
    </row>
    <row r="397" spans="1:6" x14ac:dyDescent="0.2">
      <c r="A397" s="1">
        <v>395</v>
      </c>
      <c r="B397" t="s">
        <v>688</v>
      </c>
      <c r="C397" t="s">
        <v>689</v>
      </c>
      <c r="D397" t="str">
        <f>VLOOKUP(B397,[1]FBCENC_PartnerAgencies_100725_r!$H$2:$K$561,4,0)</f>
        <v>R1503</v>
      </c>
      <c r="E397" t="str">
        <f>VLOOKUP(B397,[1]FBCENC_PartnerAgencies_100725_r!$H$2:$L$561,5,0)</f>
        <v>R1503FP</v>
      </c>
      <c r="F397" t="str">
        <f>VLOOKUP(B397,[1]FBCENC_PartnerAgencies_100725_r!$H$2:$M$561,6,0)</f>
        <v>Solid Rock Ministry International Inc.</v>
      </c>
    </row>
    <row r="398" spans="1:6" x14ac:dyDescent="0.2">
      <c r="A398" s="1">
        <v>396</v>
      </c>
      <c r="B398" t="s">
        <v>690</v>
      </c>
      <c r="C398" t="s">
        <v>691</v>
      </c>
      <c r="D398" t="e">
        <f>VLOOKUP(B398,[1]FBCENC_PartnerAgencies_100725_r!$H$2:$K$561,4,0)</f>
        <v>#N/A</v>
      </c>
      <c r="E398" t="e">
        <f>VLOOKUP(B398,[1]FBCENC_PartnerAgencies_100725_r!$H$2:$L$561,5,0)</f>
        <v>#N/A</v>
      </c>
      <c r="F398" t="e">
        <f>VLOOKUP(B398,[1]FBCENC_PartnerAgencies_100725_r!$H$2:$M$561,6,0)</f>
        <v>#N/A</v>
      </c>
    </row>
    <row r="399" spans="1:6" x14ac:dyDescent="0.2">
      <c r="A399" s="1">
        <v>397</v>
      </c>
      <c r="B399" t="s">
        <v>692</v>
      </c>
      <c r="C399" t="s">
        <v>5</v>
      </c>
      <c r="D399" t="str">
        <f>VLOOKUP(B399,[1]FBCENC_PartnerAgencies_100725_r!$H$2:$K$561,4,0)</f>
        <v>R1510</v>
      </c>
      <c r="E399" t="str">
        <f>VLOOKUP(B399,[1]FBCENC_PartnerAgencies_100725_r!$H$2:$L$561,5,0)</f>
        <v>R1510FP</v>
      </c>
      <c r="F399" t="str">
        <f>VLOOKUP(B399,[1]FBCENC_PartnerAgencies_100725_r!$H$2:$M$561,6,0)</f>
        <v>North Raleigh Ministries</v>
      </c>
    </row>
    <row r="400" spans="1:6" x14ac:dyDescent="0.2">
      <c r="A400" s="1">
        <v>398</v>
      </c>
      <c r="B400" t="s">
        <v>693</v>
      </c>
      <c r="C400" t="s">
        <v>694</v>
      </c>
      <c r="D400" t="str">
        <f>VLOOKUP(B400,[1]FBCENC_PartnerAgencies_100725_r!$H$2:$K$561,4,0)</f>
        <v>R1511</v>
      </c>
      <c r="E400" t="str">
        <f>VLOOKUP(B400,[1]FBCENC_PartnerAgencies_100725_r!$H$2:$L$561,5,0)</f>
        <v>R1511FP</v>
      </c>
      <c r="F400" t="str">
        <f>VLOOKUP(B400,[1]FBCENC_PartnerAgencies_100725_r!$H$2:$M$561,6,0)</f>
        <v>Princeton United Methodist Food Pantry</v>
      </c>
    </row>
    <row r="401" spans="1:6" x14ac:dyDescent="0.2">
      <c r="A401" s="1">
        <v>399</v>
      </c>
      <c r="B401" t="s">
        <v>695</v>
      </c>
      <c r="C401" t="s">
        <v>696</v>
      </c>
      <c r="D401" t="e">
        <f>VLOOKUP(B401,[1]FBCENC_PartnerAgencies_100725_r!$H$2:$K$561,4,0)</f>
        <v>#N/A</v>
      </c>
      <c r="E401" t="e">
        <f>VLOOKUP(B401,[1]FBCENC_PartnerAgencies_100725_r!$H$2:$L$561,5,0)</f>
        <v>#N/A</v>
      </c>
      <c r="F401" t="e">
        <f>VLOOKUP(B401,[1]FBCENC_PartnerAgencies_100725_r!$H$2:$M$561,6,0)</f>
        <v>#N/A</v>
      </c>
    </row>
    <row r="402" spans="1:6" x14ac:dyDescent="0.2">
      <c r="A402" s="1">
        <v>400</v>
      </c>
      <c r="B402" t="s">
        <v>697</v>
      </c>
      <c r="C402" t="s">
        <v>5</v>
      </c>
      <c r="D402" t="str">
        <f>VLOOKUP(B402,[1]FBCENC_PartnerAgencies_100725_r!$H$2:$K$561,4,0)</f>
        <v>R1512</v>
      </c>
      <c r="E402" t="str">
        <f>VLOOKUP(B402,[1]FBCENC_PartnerAgencies_100725_r!$H$2:$L$561,5,0)</f>
        <v>R1512FP3</v>
      </c>
      <c r="F402" t="str">
        <f>VLOOKUP(B402,[1]FBCENC_PartnerAgencies_100725_r!$H$2:$M$561,6,0)</f>
        <v>Three In One Family Center</v>
      </c>
    </row>
    <row r="403" spans="1:6" x14ac:dyDescent="0.2">
      <c r="A403" s="1">
        <v>401</v>
      </c>
      <c r="B403" t="s">
        <v>698</v>
      </c>
      <c r="C403" t="s">
        <v>699</v>
      </c>
      <c r="D403" t="str">
        <f>VLOOKUP(B403,[1]FBCENC_PartnerAgencies_100725_r!$H$2:$K$561,4,0)</f>
        <v>R1512</v>
      </c>
      <c r="E403" t="str">
        <f>VLOOKUP(B403,[1]FBCENC_PartnerAgencies_100725_r!$H$2:$L$561,5,0)</f>
        <v>R1512FP4</v>
      </c>
      <c r="F403" t="str">
        <f>VLOOKUP(B403,[1]FBCENC_PartnerAgencies_100725_r!$H$2:$M$561,6,0)</f>
        <v>Three In One Family Center</v>
      </c>
    </row>
    <row r="404" spans="1:6" x14ac:dyDescent="0.2">
      <c r="A404" s="1">
        <v>402</v>
      </c>
      <c r="B404" t="s">
        <v>700</v>
      </c>
      <c r="C404" t="s">
        <v>701</v>
      </c>
      <c r="D404" t="str">
        <f>VLOOKUP(B404,[1]FBCENC_PartnerAgencies_100725_r!$H$2:$K$561,4,0)</f>
        <v>R1513</v>
      </c>
      <c r="E404" t="str">
        <f>VLOOKUP(B404,[1]FBCENC_PartnerAgencies_100725_r!$H$2:$L$561,5,0)</f>
        <v>R1513SPC</v>
      </c>
      <c r="F404" t="str">
        <f>VLOOKUP(B404,[1]FBCENC_PartnerAgencies_100725_r!$H$2:$M$561,6,0)</f>
        <v>Feed the Pack</v>
      </c>
    </row>
    <row r="405" spans="1:6" x14ac:dyDescent="0.2">
      <c r="A405" s="1">
        <v>403</v>
      </c>
      <c r="B405" t="s">
        <v>702</v>
      </c>
      <c r="C405" t="s">
        <v>113</v>
      </c>
      <c r="D405" t="str">
        <f>VLOOKUP(B405,[1]FBCENC_PartnerAgencies_100725_r!$H$2:$K$561,4,0)</f>
        <v>R1514</v>
      </c>
      <c r="E405" t="str">
        <f>VLOOKUP(B405,[1]FBCENC_PartnerAgencies_100725_r!$H$2:$L$561,5,0)</f>
        <v>R1514FP</v>
      </c>
      <c r="F405" t="str">
        <f>VLOOKUP(B405,[1]FBCENC_PartnerAgencies_100725_r!$H$2:$M$561,6,0)</f>
        <v>REACH Our Communities-Cathedral of Love Ministries</v>
      </c>
    </row>
    <row r="406" spans="1:6" x14ac:dyDescent="0.2">
      <c r="A406" s="1">
        <v>404</v>
      </c>
      <c r="B406" t="s">
        <v>703</v>
      </c>
      <c r="C406" t="s">
        <v>704</v>
      </c>
      <c r="D406" t="str">
        <f>VLOOKUP(B406,[1]FBCENC_PartnerAgencies_100725_r!$H$2:$K$561,4,0)</f>
        <v>R1518</v>
      </c>
      <c r="E406" t="str">
        <f>VLOOKUP(B406,[1]FBCENC_PartnerAgencies_100725_r!$H$2:$L$561,5,0)</f>
        <v>R1518FP</v>
      </c>
      <c r="F406" t="str">
        <f>VLOOKUP(B406,[1]FBCENC_PartnerAgencies_100725_r!$H$2:$M$561,6,0)</f>
        <v>Kirk of Kildaire Presbyterian Church</v>
      </c>
    </row>
    <row r="407" spans="1:6" x14ac:dyDescent="0.2">
      <c r="A407" s="1">
        <v>405</v>
      </c>
      <c r="B407" t="s">
        <v>705</v>
      </c>
      <c r="C407" t="s">
        <v>5</v>
      </c>
      <c r="D407" t="str">
        <f>VLOOKUP(B407,[1]FBCENC_PartnerAgencies_100725_r!$H$2:$K$561,4,0)</f>
        <v>R1531</v>
      </c>
      <c r="E407" t="str">
        <f>VLOOKUP(B407,[1]FBCENC_PartnerAgencies_100725_r!$H$2:$L$561,5,0)</f>
        <v>R1531DR</v>
      </c>
      <c r="F407" t="str">
        <f>VLOOKUP(B407,[1]FBCENC_PartnerAgencies_100725_r!$H$2:$M$561,6,0)</f>
        <v>Castalia Community Food Giveaway</v>
      </c>
    </row>
    <row r="408" spans="1:6" x14ac:dyDescent="0.2">
      <c r="A408" s="1">
        <v>406</v>
      </c>
      <c r="B408" t="s">
        <v>706</v>
      </c>
      <c r="C408" t="s">
        <v>707</v>
      </c>
      <c r="D408" t="e">
        <f>VLOOKUP(B408,[1]FBCENC_PartnerAgencies_100725_r!$H$2:$K$561,4,0)</f>
        <v>#N/A</v>
      </c>
      <c r="E408" t="e">
        <f>VLOOKUP(B408,[1]FBCENC_PartnerAgencies_100725_r!$H$2:$L$561,5,0)</f>
        <v>#N/A</v>
      </c>
      <c r="F408" t="e">
        <f>VLOOKUP(B408,[1]FBCENC_PartnerAgencies_100725_r!$H$2:$M$561,6,0)</f>
        <v>#N/A</v>
      </c>
    </row>
    <row r="409" spans="1:6" x14ac:dyDescent="0.2">
      <c r="A409" s="1">
        <v>407</v>
      </c>
      <c r="B409" t="s">
        <v>708</v>
      </c>
      <c r="C409" t="s">
        <v>61</v>
      </c>
      <c r="D409" t="str">
        <f>VLOOKUP(B409,[1]FBCENC_PartnerAgencies_100725_r!$H$2:$K$561,4,0)</f>
        <v>R1537</v>
      </c>
      <c r="E409" t="str">
        <f>VLOOKUP(B409,[1]FBCENC_PartnerAgencies_100725_r!$H$2:$L$561,5,0)</f>
        <v>R1537FP</v>
      </c>
      <c r="F409" t="str">
        <f>VLOOKUP(B409,[1]FBCENC_PartnerAgencies_100725_r!$H$2:$M$561,6,0)</f>
        <v>S &amp; C Food Pantry</v>
      </c>
    </row>
    <row r="410" spans="1:6" x14ac:dyDescent="0.2">
      <c r="A410" s="1">
        <v>408</v>
      </c>
      <c r="B410" t="s">
        <v>709</v>
      </c>
      <c r="C410" t="s">
        <v>229</v>
      </c>
      <c r="D410" t="str">
        <f>VLOOKUP(B410,[1]FBCENC_PartnerAgencies_100725_r!$H$2:$K$561,4,0)</f>
        <v>R1538</v>
      </c>
      <c r="E410" t="str">
        <f>VLOOKUP(B410,[1]FBCENC_PartnerAgencies_100725_r!$H$2:$L$561,5,0)</f>
        <v>R1538FP</v>
      </c>
      <c r="F410" t="str">
        <f>VLOOKUP(B410,[1]FBCENC_PartnerAgencies_100725_r!$H$2:$M$561,6,0)</f>
        <v>Grace Christian Church</v>
      </c>
    </row>
    <row r="411" spans="1:6" x14ac:dyDescent="0.2">
      <c r="A411" s="1">
        <v>409</v>
      </c>
      <c r="B411" t="s">
        <v>710</v>
      </c>
      <c r="C411" t="s">
        <v>711</v>
      </c>
      <c r="D411" t="str">
        <f>VLOOKUP(B411,[1]FBCENC_PartnerAgencies_100725_r!$H$2:$K$561,4,0)</f>
        <v>R1543</v>
      </c>
      <c r="E411" t="str">
        <f>VLOOKUP(B411,[1]FBCENC_PartnerAgencies_100725_r!$H$2:$L$561,5,0)</f>
        <v>R1543FP</v>
      </c>
      <c r="F411" t="str">
        <f>VLOOKUP(B411,[1]FBCENC_PartnerAgencies_100725_r!$H$2:$M$561,6,0)</f>
        <v>Vision Church - MP</v>
      </c>
    </row>
    <row r="412" spans="1:6" x14ac:dyDescent="0.2">
      <c r="A412" s="1">
        <v>410</v>
      </c>
      <c r="B412" t="s">
        <v>712</v>
      </c>
      <c r="C412" t="s">
        <v>713</v>
      </c>
      <c r="D412" t="str">
        <f>VLOOKUP(B412,[1]FBCENC_PartnerAgencies_100725_r!$H$2:$K$561,4,0)</f>
        <v>R1545</v>
      </c>
      <c r="E412" t="str">
        <f>VLOOKUP(B412,[1]FBCENC_PartnerAgencies_100725_r!$H$2:$L$561,5,0)</f>
        <v>R1545FP</v>
      </c>
      <c r="F412" t="str">
        <f>VLOOKUP(B412,[1]FBCENC_PartnerAgencies_100725_r!$H$2:$M$561,6,0)</f>
        <v>Blessings Inc/Saint Paul Presbyterian Church</v>
      </c>
    </row>
    <row r="413" spans="1:6" x14ac:dyDescent="0.2">
      <c r="A413" s="1">
        <v>411</v>
      </c>
      <c r="B413" t="s">
        <v>714</v>
      </c>
      <c r="C413" t="s">
        <v>715</v>
      </c>
      <c r="D413" t="e">
        <f>VLOOKUP(B413,[1]FBCENC_PartnerAgencies_100725_r!$H$2:$K$561,4,0)</f>
        <v>#N/A</v>
      </c>
      <c r="E413" t="e">
        <f>VLOOKUP(B413,[1]FBCENC_PartnerAgencies_100725_r!$H$2:$L$561,5,0)</f>
        <v>#N/A</v>
      </c>
      <c r="F413" t="e">
        <f>VLOOKUP(B413,[1]FBCENC_PartnerAgencies_100725_r!$H$2:$M$561,6,0)</f>
        <v>#N/A</v>
      </c>
    </row>
    <row r="414" spans="1:6" x14ac:dyDescent="0.2">
      <c r="A414" s="1">
        <v>412</v>
      </c>
      <c r="B414" t="s">
        <v>716</v>
      </c>
      <c r="C414" t="s">
        <v>717</v>
      </c>
      <c r="D414" t="e">
        <f>VLOOKUP(B414,[1]FBCENC_PartnerAgencies_100725_r!$H$2:$K$561,4,0)</f>
        <v>#N/A</v>
      </c>
      <c r="E414" t="e">
        <f>VLOOKUP(B414,[1]FBCENC_PartnerAgencies_100725_r!$H$2:$L$561,5,0)</f>
        <v>#N/A</v>
      </c>
      <c r="F414" t="e">
        <f>VLOOKUP(B414,[1]FBCENC_PartnerAgencies_100725_r!$H$2:$M$561,6,0)</f>
        <v>#N/A</v>
      </c>
    </row>
    <row r="415" spans="1:6" x14ac:dyDescent="0.2">
      <c r="A415" s="1">
        <v>413</v>
      </c>
      <c r="B415" t="s">
        <v>718</v>
      </c>
      <c r="C415" t="s">
        <v>719</v>
      </c>
      <c r="D415" t="str">
        <f>VLOOKUP(B415,[1]FBCENC_PartnerAgencies_100725_r!$H$2:$K$561,4,0)</f>
        <v>R1555</v>
      </c>
      <c r="E415" t="str">
        <f>VLOOKUP(B415,[1]FBCENC_PartnerAgencies_100725_r!$H$2:$L$561,5,0)</f>
        <v>R1555FP</v>
      </c>
      <c r="F415" t="str">
        <f>VLOOKUP(B415,[1]FBCENC_PartnerAgencies_100725_r!$H$2:$M$561,6,0)</f>
        <v>Community of Hope Center</v>
      </c>
    </row>
    <row r="416" spans="1:6" x14ac:dyDescent="0.2">
      <c r="A416" s="1">
        <v>414</v>
      </c>
      <c r="B416" t="s">
        <v>720</v>
      </c>
      <c r="C416" t="s">
        <v>721</v>
      </c>
      <c r="D416" t="str">
        <f>VLOOKUP(B416,[1]FBCENC_PartnerAgencies_100725_r!$H$2:$K$561,4,0)</f>
        <v>R1560</v>
      </c>
      <c r="E416" t="str">
        <f>VLOOKUP(B416,[1]FBCENC_PartnerAgencies_100725_r!$H$2:$L$561,5,0)</f>
        <v>R1560FP</v>
      </c>
      <c r="F416" t="str">
        <f>VLOOKUP(B416,[1]FBCENC_PartnerAgencies_100725_r!$H$2:$M$561,6,0)</f>
        <v>Restoration Church and Outreach Ministries</v>
      </c>
    </row>
    <row r="417" spans="1:6" x14ac:dyDescent="0.2">
      <c r="A417" s="1">
        <v>415</v>
      </c>
      <c r="B417" t="s">
        <v>722</v>
      </c>
      <c r="C417" t="s">
        <v>723</v>
      </c>
      <c r="D417" t="str">
        <f>VLOOKUP(B417,[1]FBCENC_PartnerAgencies_100725_r!$H$2:$K$561,4,0)</f>
        <v>R1563</v>
      </c>
      <c r="E417" t="str">
        <f>VLOOKUP(B417,[1]FBCENC_PartnerAgencies_100725_r!$H$2:$L$561,5,0)</f>
        <v>R1563FP</v>
      </c>
      <c r="F417" t="str">
        <f>VLOOKUP(B417,[1]FBCENC_PartnerAgencies_100725_r!$H$2:$M$561,6,0)</f>
        <v>Iglesia Tabernaculo De Restauracion</v>
      </c>
    </row>
    <row r="418" spans="1:6" x14ac:dyDescent="0.2">
      <c r="A418" s="1">
        <v>416</v>
      </c>
      <c r="B418" t="s">
        <v>724</v>
      </c>
      <c r="C418" t="s">
        <v>5</v>
      </c>
      <c r="D418" t="str">
        <f>VLOOKUP(B418,[1]FBCENC_PartnerAgencies_100725_r!$H$2:$K$561,4,0)</f>
        <v>R1571</v>
      </c>
      <c r="E418" t="str">
        <f>VLOOKUP(B418,[1]FBCENC_PartnerAgencies_100725_r!$H$2:$L$561,5,0)</f>
        <v>R1571FP</v>
      </c>
      <c r="F418" t="str">
        <f>VLOOKUP(B418,[1]FBCENC_PartnerAgencies_100725_r!$H$2:$M$561,6,0)</f>
        <v>The Journey Ministry</v>
      </c>
    </row>
    <row r="419" spans="1:6" x14ac:dyDescent="0.2">
      <c r="A419" s="1">
        <v>417</v>
      </c>
      <c r="B419" t="s">
        <v>725</v>
      </c>
      <c r="C419" t="s">
        <v>726</v>
      </c>
      <c r="D419" t="str">
        <f>VLOOKUP(B419,[1]FBCENC_PartnerAgencies_100725_r!$H$2:$K$561,4,0)</f>
        <v>R1581</v>
      </c>
      <c r="E419" t="str">
        <f>VLOOKUP(B419,[1]FBCENC_PartnerAgencies_100725_r!$H$2:$L$561,5,0)</f>
        <v>R1581FP</v>
      </c>
      <c r="F419" t="str">
        <f>VLOOKUP(B419,[1]FBCENC_PartnerAgencies_100725_r!$H$2:$M$561,6,0)</f>
        <v>Pine Ridge Baptist Church</v>
      </c>
    </row>
    <row r="420" spans="1:6" x14ac:dyDescent="0.2">
      <c r="A420" s="1">
        <v>418</v>
      </c>
      <c r="B420" t="s">
        <v>727</v>
      </c>
      <c r="C420" t="s">
        <v>728</v>
      </c>
      <c r="D420" t="str">
        <f>VLOOKUP(B420,[1]FBCENC_PartnerAgencies_100725_r!$H$2:$K$561,4,0)</f>
        <v>R1585</v>
      </c>
      <c r="E420" t="str">
        <f>VLOOKUP(B420,[1]FBCENC_PartnerAgencies_100725_r!$H$2:$L$561,5,0)</f>
        <v>R1585FP</v>
      </c>
      <c r="F420" t="str">
        <f>VLOOKUP(B420,[1]FBCENC_PartnerAgencies_100725_r!$H$2:$M$561,6,0)</f>
        <v>Springfield Baptist Church</v>
      </c>
    </row>
    <row r="421" spans="1:6" x14ac:dyDescent="0.2">
      <c r="A421" s="1">
        <v>419</v>
      </c>
      <c r="B421" t="s">
        <v>729</v>
      </c>
      <c r="C421" t="s">
        <v>48</v>
      </c>
      <c r="D421" t="str">
        <f>VLOOKUP(B421,[1]FBCENC_PartnerAgencies_100725_r!$H$2:$K$561,4,0)</f>
        <v>R1586</v>
      </c>
      <c r="E421" t="str">
        <f>VLOOKUP(B421,[1]FBCENC_PartnerAgencies_100725_r!$H$2:$L$561,5,0)</f>
        <v>R1586FP</v>
      </c>
      <c r="F421" t="str">
        <f>VLOOKUP(B421,[1]FBCENC_PartnerAgencies_100725_r!$H$2:$M$561,6,0)</f>
        <v>Open Table</v>
      </c>
    </row>
    <row r="422" spans="1:6" x14ac:dyDescent="0.2">
      <c r="A422" s="1">
        <v>420</v>
      </c>
      <c r="B422" t="s">
        <v>730</v>
      </c>
      <c r="C422" t="s">
        <v>731</v>
      </c>
      <c r="D422" t="str">
        <f>VLOOKUP(B422,[1]FBCENC_PartnerAgencies_100725_r!$H$2:$K$561,4,0)</f>
        <v>R1587</v>
      </c>
      <c r="E422" t="str">
        <f>VLOOKUP(B422,[1]FBCENC_PartnerAgencies_100725_r!$H$2:$L$561,5,0)</f>
        <v>R1587FP</v>
      </c>
      <c r="F422" t="str">
        <f>VLOOKUP(B422,[1]FBCENC_PartnerAgencies_100725_r!$H$2:$M$561,6,0)</f>
        <v>Celebration Church</v>
      </c>
    </row>
    <row r="423" spans="1:6" x14ac:dyDescent="0.2">
      <c r="A423" s="1">
        <v>421</v>
      </c>
      <c r="B423" t="s">
        <v>732</v>
      </c>
      <c r="C423" t="s">
        <v>733</v>
      </c>
      <c r="D423" t="str">
        <f>VLOOKUP(B423,[1]FBCENC_PartnerAgencies_100725_r!$H$2:$K$561,4,0)</f>
        <v>R1591</v>
      </c>
      <c r="E423" t="str">
        <f>VLOOKUP(B423,[1]FBCENC_PartnerAgencies_100725_r!$H$2:$L$561,5,0)</f>
        <v>R1591FP</v>
      </c>
      <c r="F423" t="str">
        <f>VLOOKUP(B423,[1]FBCENC_PartnerAgencies_100725_r!$H$2:$M$561,6,0)</f>
        <v>Nothing But the Truth Ministry</v>
      </c>
    </row>
    <row r="424" spans="1:6" x14ac:dyDescent="0.2">
      <c r="A424" s="1">
        <v>422</v>
      </c>
      <c r="B424" t="s">
        <v>734</v>
      </c>
      <c r="C424" t="s">
        <v>735</v>
      </c>
      <c r="D424" t="str">
        <f>VLOOKUP(B424,[1]FBCENC_PartnerAgencies_100725_r!$H$2:$K$561,4,0)</f>
        <v>R1593</v>
      </c>
      <c r="E424" t="str">
        <f>VLOOKUP(B424,[1]FBCENC_PartnerAgencies_100725_r!$H$2:$L$561,5,0)</f>
        <v>R1593FP</v>
      </c>
      <c r="F424" t="str">
        <f>VLOOKUP(B424,[1]FBCENC_PartnerAgencies_100725_r!$H$2:$M$561,6,0)</f>
        <v>Lincoln Park Holiness Church</v>
      </c>
    </row>
    <row r="425" spans="1:6" x14ac:dyDescent="0.2">
      <c r="A425" s="1">
        <v>423</v>
      </c>
      <c r="B425" t="s">
        <v>736</v>
      </c>
      <c r="C425" t="s">
        <v>737</v>
      </c>
      <c r="D425" t="str">
        <f>VLOOKUP(B425,[1]FBCENC_PartnerAgencies_100725_r!$H$2:$K$561,4,0)</f>
        <v>R1595</v>
      </c>
      <c r="E425" t="str">
        <f>VLOOKUP(B425,[1]FBCENC_PartnerAgencies_100725_r!$H$2:$L$561,5,0)</f>
        <v>R1595FP</v>
      </c>
      <c r="F425" t="str">
        <f>VLOOKUP(B425,[1]FBCENC_PartnerAgencies_100725_r!$H$2:$M$561,6,0)</f>
        <v>Concord Baptist Church</v>
      </c>
    </row>
    <row r="426" spans="1:6" x14ac:dyDescent="0.2">
      <c r="A426" s="1">
        <v>424</v>
      </c>
      <c r="B426" t="s">
        <v>738</v>
      </c>
      <c r="C426" t="s">
        <v>739</v>
      </c>
      <c r="D426" t="str">
        <f>VLOOKUP(B426,[1]FBCENC_PartnerAgencies_100725_r!$H$2:$K$561,4,0)</f>
        <v>R1605</v>
      </c>
      <c r="E426" t="str">
        <f>VLOOKUP(B426,[1]FBCENC_PartnerAgencies_100725_r!$H$2:$L$561,5,0)</f>
        <v>R1605FP</v>
      </c>
      <c r="F426" t="str">
        <f>VLOOKUP(B426,[1]FBCENC_PartnerAgencies_100725_r!$H$2:$M$561,6,0)</f>
        <v>The Way Church</v>
      </c>
    </row>
    <row r="427" spans="1:6" x14ac:dyDescent="0.2">
      <c r="A427" s="1">
        <v>425</v>
      </c>
      <c r="B427" t="s">
        <v>740</v>
      </c>
      <c r="C427" t="s">
        <v>243</v>
      </c>
      <c r="D427" t="str">
        <f>VLOOKUP(B427,[1]FBCENC_PartnerAgencies_100725_r!$H$2:$K$561,4,0)</f>
        <v>R1606</v>
      </c>
      <c r="E427" t="str">
        <f>VLOOKUP(B427,[1]FBCENC_PartnerAgencies_100725_r!$H$2:$L$561,5,0)</f>
        <v>R1606FP</v>
      </c>
      <c r="F427" t="str">
        <f>VLOOKUP(B427,[1]FBCENC_PartnerAgencies_100725_r!$H$2:$M$561,6,0)</f>
        <v>Compass Christian Church</v>
      </c>
    </row>
    <row r="428" spans="1:6" x14ac:dyDescent="0.2">
      <c r="A428" s="1">
        <v>426</v>
      </c>
      <c r="B428" t="s">
        <v>741</v>
      </c>
      <c r="C428" t="s">
        <v>742</v>
      </c>
      <c r="D428" t="str">
        <f>VLOOKUP(B428,[1]FBCENC_PartnerAgencies_100725_r!$H$2:$K$561,4,0)</f>
        <v>R1608</v>
      </c>
      <c r="E428" t="str">
        <f>VLOOKUP(B428,[1]FBCENC_PartnerAgencies_100725_r!$H$2:$L$561,5,0)</f>
        <v>R1608FP</v>
      </c>
      <c r="F428" t="str">
        <f>VLOOKUP(B428,[1]FBCENC_PartnerAgencies_100725_r!$H$2:$M$561,6,0)</f>
        <v>Joyful Hope Station</v>
      </c>
    </row>
    <row r="429" spans="1:6" x14ac:dyDescent="0.2">
      <c r="A429" s="1">
        <v>427</v>
      </c>
      <c r="B429" t="s">
        <v>743</v>
      </c>
      <c r="C429" t="s">
        <v>744</v>
      </c>
      <c r="D429" t="e">
        <f>VLOOKUP(B429,[1]FBCENC_PartnerAgencies_100725_r!$H$2:$K$561,4,0)</f>
        <v>#N/A</v>
      </c>
      <c r="E429" t="e">
        <f>VLOOKUP(B429,[1]FBCENC_PartnerAgencies_100725_r!$H$2:$L$561,5,0)</f>
        <v>#N/A</v>
      </c>
      <c r="F429" t="e">
        <f>VLOOKUP(B429,[1]FBCENC_PartnerAgencies_100725_r!$H$2:$M$561,6,0)</f>
        <v>#N/A</v>
      </c>
    </row>
    <row r="430" spans="1:6" x14ac:dyDescent="0.2">
      <c r="A430" s="1">
        <v>428</v>
      </c>
      <c r="B430" t="s">
        <v>745</v>
      </c>
      <c r="C430" t="s">
        <v>5</v>
      </c>
      <c r="D430" t="str">
        <f>VLOOKUP(B430,[1]FBCENC_PartnerAgencies_100725_r!$H$2:$K$561,4,0)</f>
        <v>R1610</v>
      </c>
      <c r="E430" t="str">
        <f>VLOOKUP(B430,[1]FBCENC_PartnerAgencies_100725_r!$H$2:$L$561,5,0)</f>
        <v>R1610FP</v>
      </c>
      <c r="F430" t="str">
        <f>VLOOKUP(B430,[1]FBCENC_PartnerAgencies_100725_r!$H$2:$M$561,6,0)</f>
        <v>Pantry of H.O.P.E.</v>
      </c>
    </row>
    <row r="431" spans="1:6" x14ac:dyDescent="0.2">
      <c r="A431" s="1">
        <v>429</v>
      </c>
      <c r="B431" t="s">
        <v>746</v>
      </c>
      <c r="C431" t="s">
        <v>747</v>
      </c>
      <c r="D431" t="str">
        <f>VLOOKUP(B431,[1]FBCENC_PartnerAgencies_100725_r!$H$2:$K$561,4,0)</f>
        <v>R1612</v>
      </c>
      <c r="E431" t="str">
        <f>VLOOKUP(B431,[1]FBCENC_PartnerAgencies_100725_r!$H$2:$L$561,5,0)</f>
        <v>R1612SK</v>
      </c>
      <c r="F431" t="str">
        <f>VLOOKUP(B431,[1]FBCENC_PartnerAgencies_100725_r!$H$2:$M$561,6,0)</f>
        <v>Grace AME Church</v>
      </c>
    </row>
    <row r="432" spans="1:6" x14ac:dyDescent="0.2">
      <c r="A432" s="1">
        <v>430</v>
      </c>
      <c r="B432" t="s">
        <v>748</v>
      </c>
      <c r="C432" t="s">
        <v>749</v>
      </c>
      <c r="D432" t="str">
        <f>VLOOKUP(B432,[1]FBCENC_PartnerAgencies_100725_r!$H$2:$K$561,4,0)</f>
        <v>R1613</v>
      </c>
      <c r="E432" t="str">
        <f>VLOOKUP(B432,[1]FBCENC_PartnerAgencies_100725_r!$H$2:$L$561,5,0)</f>
        <v>R1613FP</v>
      </c>
      <c r="F432" t="str">
        <f>VLOOKUP(B432,[1]FBCENC_PartnerAgencies_100725_r!$H$2:$M$561,6,0)</f>
        <v>Saint James Christian Church Disciples of Christ</v>
      </c>
    </row>
    <row r="433" spans="1:6" x14ac:dyDescent="0.2">
      <c r="A433" s="1">
        <v>431</v>
      </c>
      <c r="B433" t="s">
        <v>750</v>
      </c>
      <c r="C433" t="s">
        <v>751</v>
      </c>
      <c r="D433" t="str">
        <f>VLOOKUP(B433,[1]FBCENC_PartnerAgencies_100725_r!$H$2:$K$561,4,0)</f>
        <v>R1614</v>
      </c>
      <c r="E433" t="str">
        <f>VLOOKUP(B433,[1]FBCENC_PartnerAgencies_100725_r!$H$2:$L$561,5,0)</f>
        <v>R1614FP</v>
      </c>
      <c r="F433" t="str">
        <f>VLOOKUP(B433,[1]FBCENC_PartnerAgencies_100725_r!$H$2:$M$561,6,0)</f>
        <v>Olive Grove Missionary Baptist Church</v>
      </c>
    </row>
    <row r="434" spans="1:6" x14ac:dyDescent="0.2">
      <c r="A434" s="1">
        <v>432</v>
      </c>
      <c r="B434" t="s">
        <v>752</v>
      </c>
      <c r="C434" t="s">
        <v>753</v>
      </c>
      <c r="D434" t="str">
        <f>VLOOKUP(B434,[1]FBCENC_PartnerAgencies_100725_r!$H$2:$K$561,4,0)</f>
        <v>R1617</v>
      </c>
      <c r="E434" t="str">
        <f>VLOOKUP(B434,[1]FBCENC_PartnerAgencies_100725_r!$H$2:$L$561,5,0)</f>
        <v>R1617FP</v>
      </c>
      <c r="F434" t="str">
        <f>VLOOKUP(B434,[1]FBCENC_PartnerAgencies_100725_r!$H$2:$M$561,6,0)</f>
        <v>The Help Center NC - Louisburg</v>
      </c>
    </row>
    <row r="435" spans="1:6" x14ac:dyDescent="0.2">
      <c r="A435" s="1">
        <v>433</v>
      </c>
      <c r="B435" t="s">
        <v>754</v>
      </c>
      <c r="C435" t="s">
        <v>755</v>
      </c>
      <c r="D435" t="str">
        <f>VLOOKUP(B435,[1]FBCENC_PartnerAgencies_100725_r!$H$2:$K$561,4,0)</f>
        <v>R1619</v>
      </c>
      <c r="E435" t="str">
        <f>VLOOKUP(B435,[1]FBCENC_PartnerAgencies_100725_r!$H$2:$L$561,5,0)</f>
        <v>R1619FP</v>
      </c>
      <c r="F435" t="str">
        <f>VLOOKUP(B435,[1]FBCENC_PartnerAgencies_100725_r!$H$2:$M$561,6,0)</f>
        <v>A Better Chance, A Better Community</v>
      </c>
    </row>
    <row r="436" spans="1:6" x14ac:dyDescent="0.2">
      <c r="A436" s="1">
        <v>434</v>
      </c>
      <c r="B436" t="s">
        <v>756</v>
      </c>
      <c r="C436" t="s">
        <v>757</v>
      </c>
      <c r="D436" t="str">
        <f>VLOOKUP(B436,[1]FBCENC_PartnerAgencies_100725_r!$H$2:$K$561,4,0)</f>
        <v>R1620</v>
      </c>
      <c r="E436" t="str">
        <f>VLOOKUP(B436,[1]FBCENC_PartnerAgencies_100725_r!$H$2:$L$561,5,0)</f>
        <v>R1620FP</v>
      </c>
      <c r="F436" t="str">
        <f>VLOOKUP(B436,[1]FBCENC_PartnerAgencies_100725_r!$H$2:$M$561,6,0)</f>
        <v>South Raleigh Inwood Care Pantry</v>
      </c>
    </row>
    <row r="437" spans="1:6" x14ac:dyDescent="0.2">
      <c r="A437" s="1">
        <v>435</v>
      </c>
      <c r="B437" t="s">
        <v>758</v>
      </c>
      <c r="C437" t="s">
        <v>759</v>
      </c>
      <c r="D437" t="e">
        <f>VLOOKUP(B437,[1]FBCENC_PartnerAgencies_100725_r!$H$2:$K$561,4,0)</f>
        <v>#N/A</v>
      </c>
      <c r="E437" t="e">
        <f>VLOOKUP(B437,[1]FBCENC_PartnerAgencies_100725_r!$H$2:$L$561,5,0)</f>
        <v>#N/A</v>
      </c>
      <c r="F437" t="e">
        <f>VLOOKUP(B437,[1]FBCENC_PartnerAgencies_100725_r!$H$2:$M$561,6,0)</f>
        <v>#N/A</v>
      </c>
    </row>
    <row r="438" spans="1:6" x14ac:dyDescent="0.2">
      <c r="A438" s="1">
        <v>436</v>
      </c>
      <c r="B438" t="s">
        <v>760</v>
      </c>
      <c r="C438" t="s">
        <v>761</v>
      </c>
      <c r="D438" t="str">
        <f>VLOOKUP(B438,[1]FBCENC_PartnerAgencies_100725_r!$H$2:$K$561,4,0)</f>
        <v>R1623</v>
      </c>
      <c r="E438" t="str">
        <f>VLOOKUP(B438,[1]FBCENC_PartnerAgencies_100725_r!$H$2:$L$561,5,0)</f>
        <v>R1623FP</v>
      </c>
      <c r="F438" t="str">
        <f>VLOOKUP(B438,[1]FBCENC_PartnerAgencies_100725_r!$H$2:$M$561,6,0)</f>
        <v>Mission in Action</v>
      </c>
    </row>
    <row r="439" spans="1:6" x14ac:dyDescent="0.2">
      <c r="A439" s="1">
        <v>437</v>
      </c>
      <c r="B439" t="s">
        <v>762</v>
      </c>
      <c r="C439" t="s">
        <v>763</v>
      </c>
      <c r="D439" t="e">
        <f>VLOOKUP(B439,[1]FBCENC_PartnerAgencies_100725_r!$H$2:$K$561,4,0)</f>
        <v>#N/A</v>
      </c>
      <c r="E439" t="e">
        <f>VLOOKUP(B439,[1]FBCENC_PartnerAgencies_100725_r!$H$2:$L$561,5,0)</f>
        <v>#N/A</v>
      </c>
      <c r="F439" t="e">
        <f>VLOOKUP(B439,[1]FBCENC_PartnerAgencies_100725_r!$H$2:$M$561,6,0)</f>
        <v>#N/A</v>
      </c>
    </row>
    <row r="440" spans="1:6" x14ac:dyDescent="0.2">
      <c r="A440" s="1">
        <v>438</v>
      </c>
      <c r="B440" t="s">
        <v>764</v>
      </c>
      <c r="C440" t="s">
        <v>765</v>
      </c>
      <c r="D440" t="str">
        <f>VLOOKUP(B440,[1]FBCENC_PartnerAgencies_100725_r!$H$2:$K$561,4,0)</f>
        <v>R1625</v>
      </c>
      <c r="E440" t="str">
        <f>VLOOKUP(B440,[1]FBCENC_PartnerAgencies_100725_r!$H$2:$L$561,5,0)</f>
        <v>R1625FP</v>
      </c>
      <c r="F440" t="str">
        <f>VLOOKUP(B440,[1]FBCENC_PartnerAgencies_100725_r!$H$2:$M$561,6,0)</f>
        <v>Oak City Baptist Church</v>
      </c>
    </row>
    <row r="441" spans="1:6" x14ac:dyDescent="0.2">
      <c r="A441" s="1">
        <v>439</v>
      </c>
      <c r="B441" t="s">
        <v>766</v>
      </c>
      <c r="C441" t="s">
        <v>767</v>
      </c>
      <c r="D441" t="str">
        <f>VLOOKUP(B441,[1]FBCENC_PartnerAgencies_100725_r!$H$2:$K$561,4,0)</f>
        <v>R1626</v>
      </c>
      <c r="E441" t="str">
        <f>VLOOKUP(B441,[1]FBCENC_PartnerAgencies_100725_r!$H$2:$L$561,5,0)</f>
        <v>R1626FP</v>
      </c>
      <c r="F441" t="str">
        <f>VLOOKUP(B441,[1]FBCENC_PartnerAgencies_100725_r!$H$2:$M$561,6,0)</f>
        <v>Sandy Creek Baptist Church</v>
      </c>
    </row>
    <row r="442" spans="1:6" x14ac:dyDescent="0.2">
      <c r="A442" s="1">
        <v>440</v>
      </c>
      <c r="B442" t="s">
        <v>768</v>
      </c>
      <c r="C442" t="s">
        <v>5</v>
      </c>
      <c r="D442" t="str">
        <f>VLOOKUP(B442,[1]FBCENC_PartnerAgencies_100725_r!$H$2:$K$561,4,0)</f>
        <v>R1627</v>
      </c>
      <c r="E442" t="str">
        <f>VLOOKUP(B442,[1]FBCENC_PartnerAgencies_100725_r!$H$2:$L$561,5,0)</f>
        <v>R1627FP</v>
      </c>
      <c r="F442" t="str">
        <f>VLOOKUP(B442,[1]FBCENC_PartnerAgencies_100725_r!$H$2:$M$561,6,0)</f>
        <v>Sowing Seeds NC</v>
      </c>
    </row>
    <row r="443" spans="1:6" x14ac:dyDescent="0.2">
      <c r="A443" s="1">
        <v>441</v>
      </c>
      <c r="B443" t="s">
        <v>769</v>
      </c>
      <c r="C443" t="s">
        <v>770</v>
      </c>
      <c r="D443" t="str">
        <f>VLOOKUP(B443,[1]FBCENC_PartnerAgencies_100725_r!$H$2:$K$561,4,0)</f>
        <v>R1638</v>
      </c>
      <c r="E443" t="str">
        <f>VLOOKUP(B443,[1]FBCENC_PartnerAgencies_100725_r!$H$2:$L$561,5,0)</f>
        <v>R1638FP</v>
      </c>
      <c r="F443" t="str">
        <f>VLOOKUP(B443,[1]FBCENC_PartnerAgencies_100725_r!$H$2:$M$561,6,0)</f>
        <v>Warrenton Missionary Baptist Church</v>
      </c>
    </row>
    <row r="444" spans="1:6" x14ac:dyDescent="0.2">
      <c r="A444" s="1">
        <v>442</v>
      </c>
      <c r="B444" t="s">
        <v>771</v>
      </c>
      <c r="C444" t="s">
        <v>772</v>
      </c>
      <c r="D444" t="str">
        <f>VLOOKUP(B444,[1]FBCENC_PartnerAgencies_100725_r!$H$2:$K$561,4,0)</f>
        <v>R1641</v>
      </c>
      <c r="E444" t="str">
        <f>VLOOKUP(B444,[1]FBCENC_PartnerAgencies_100725_r!$H$2:$L$561,5,0)</f>
        <v>R1641FP</v>
      </c>
      <c r="F444" t="str">
        <f>VLOOKUP(B444,[1]FBCENC_PartnerAgencies_100725_r!$H$2:$M$561,6,0)</f>
        <v>Wake Relief</v>
      </c>
    </row>
    <row r="445" spans="1:6" x14ac:dyDescent="0.2">
      <c r="A445" s="1">
        <v>443</v>
      </c>
      <c r="B445" t="s">
        <v>773</v>
      </c>
      <c r="C445" t="s">
        <v>539</v>
      </c>
      <c r="D445" t="str">
        <f>VLOOKUP(B445,[1]FBCENC_PartnerAgencies_100725_r!$H$2:$K$561,4,0)</f>
        <v>R1643</v>
      </c>
      <c r="E445" t="str">
        <f>VLOOKUP(B445,[1]FBCENC_PartnerAgencies_100725_r!$H$2:$L$561,5,0)</f>
        <v>R1643FP</v>
      </c>
      <c r="F445" t="str">
        <f>VLOOKUP(B445,[1]FBCENC_PartnerAgencies_100725_r!$H$2:$M$561,6,0)</f>
        <v>Kingdom Builders Youth Development Program</v>
      </c>
    </row>
    <row r="446" spans="1:6" x14ac:dyDescent="0.2">
      <c r="A446" s="1">
        <v>444</v>
      </c>
      <c r="B446" t="s">
        <v>774</v>
      </c>
      <c r="C446" t="s">
        <v>5</v>
      </c>
      <c r="D446" t="str">
        <f>VLOOKUP(B446,[1]FBCENC_PartnerAgencies_100725_r!$H$2:$K$561,4,0)</f>
        <v>R1644</v>
      </c>
      <c r="E446" t="str">
        <f>VLOOKUP(B446,[1]FBCENC_PartnerAgencies_100725_r!$H$2:$L$561,5,0)</f>
        <v>R1644FP</v>
      </c>
      <c r="F446" t="str">
        <f>VLOOKUP(B446,[1]FBCENC_PartnerAgencies_100725_r!$H$2:$M$561,6,0)</f>
        <v>The Haven Church</v>
      </c>
    </row>
    <row r="447" spans="1:6" x14ac:dyDescent="0.2">
      <c r="A447" s="1">
        <v>445</v>
      </c>
      <c r="B447" t="s">
        <v>775</v>
      </c>
      <c r="C447" t="s">
        <v>776</v>
      </c>
      <c r="D447" t="str">
        <f>VLOOKUP(B447,[1]FBCENC_PartnerAgencies_100725_r!$H$2:$K$561,4,0)</f>
        <v>R1645</v>
      </c>
      <c r="E447" t="str">
        <f>VLOOKUP(B447,[1]FBCENC_PartnerAgencies_100725_r!$H$2:$L$561,5,0)</f>
        <v>R1645FP</v>
      </c>
      <c r="F447" t="str">
        <f>VLOOKUP(B447,[1]FBCENC_PartnerAgencies_100725_r!$H$2:$M$561,6,0)</f>
        <v>Bridges of Hope Outreach Ministry</v>
      </c>
    </row>
    <row r="448" spans="1:6" x14ac:dyDescent="0.2">
      <c r="A448" s="1">
        <v>446</v>
      </c>
      <c r="B448" t="s">
        <v>777</v>
      </c>
      <c r="C448" t="s">
        <v>778</v>
      </c>
      <c r="D448" t="str">
        <f>VLOOKUP(B448,[1]FBCENC_PartnerAgencies_100725_r!$H$2:$K$561,4,0)</f>
        <v>R1652</v>
      </c>
      <c r="E448" t="str">
        <f>VLOOKUP(B448,[1]FBCENC_PartnerAgencies_100725_r!$H$2:$L$561,5,0)</f>
        <v>R1652FP</v>
      </c>
      <c r="F448" t="str">
        <f>VLOOKUP(B448,[1]FBCENC_PartnerAgencies_100725_r!$H$2:$M$561,6,0)</f>
        <v>Wilson Youth United Inc. dba The SPOT</v>
      </c>
    </row>
    <row r="449" spans="1:6" x14ac:dyDescent="0.2">
      <c r="A449" s="1">
        <v>447</v>
      </c>
      <c r="B449" t="s">
        <v>779</v>
      </c>
      <c r="C449" t="s">
        <v>780</v>
      </c>
      <c r="D449" t="str">
        <f>VLOOKUP(B449,[1]FBCENC_PartnerAgencies_100725_r!$H$2:$K$561,4,0)</f>
        <v>R1665</v>
      </c>
      <c r="E449" t="str">
        <f>VLOOKUP(B449,[1]FBCENC_PartnerAgencies_100725_r!$H$2:$L$561,5,0)</f>
        <v>R1665FP</v>
      </c>
      <c r="F449" t="str">
        <f>VLOOKUP(B449,[1]FBCENC_PartnerAgencies_100725_r!$H$2:$M$561,6,0)</f>
        <v>Tar River Cowboy Church "Feed My People"</v>
      </c>
    </row>
    <row r="450" spans="1:6" x14ac:dyDescent="0.2">
      <c r="A450" s="1">
        <v>448</v>
      </c>
      <c r="B450" t="s">
        <v>781</v>
      </c>
      <c r="C450" t="s">
        <v>782</v>
      </c>
      <c r="D450" t="e">
        <f>VLOOKUP(B450,[1]FBCENC_PartnerAgencies_100725_r!$H$2:$K$561,4,0)</f>
        <v>#N/A</v>
      </c>
      <c r="E450" t="e">
        <f>VLOOKUP(B450,[1]FBCENC_PartnerAgencies_100725_r!$H$2:$L$561,5,0)</f>
        <v>#N/A</v>
      </c>
      <c r="F450" t="e">
        <f>VLOOKUP(B450,[1]FBCENC_PartnerAgencies_100725_r!$H$2:$M$561,6,0)</f>
        <v>#N/A</v>
      </c>
    </row>
    <row r="451" spans="1:6" x14ac:dyDescent="0.2">
      <c r="A451" s="1">
        <v>449</v>
      </c>
      <c r="B451" t="s">
        <v>783</v>
      </c>
      <c r="C451" t="s">
        <v>784</v>
      </c>
      <c r="D451" t="str">
        <f>VLOOKUP(B451,[1]FBCENC_PartnerAgencies_100725_r!$H$2:$K$561,4,0)</f>
        <v>S1009</v>
      </c>
      <c r="E451" t="str">
        <f>VLOOKUP(B451,[1]FBCENC_PartnerAgencies_100725_r!$H$2:$L$561,5,0)</f>
        <v>S1009FP</v>
      </c>
      <c r="F451" t="str">
        <f>VLOOKUP(B451,[1]FBCENC_PartnerAgencies_100725_r!$H$2:$M$561,6,0)</f>
        <v>Blue Angel Outreach</v>
      </c>
    </row>
    <row r="452" spans="1:6" x14ac:dyDescent="0.2">
      <c r="A452" s="1">
        <v>450</v>
      </c>
      <c r="B452" t="s">
        <v>785</v>
      </c>
      <c r="C452" t="s">
        <v>786</v>
      </c>
      <c r="D452" t="str">
        <f>VLOOKUP(B452,[1]FBCENC_PartnerAgencies_100725_r!$H$2:$K$561,4,0)</f>
        <v>S1014</v>
      </c>
      <c r="E452" t="str">
        <f>VLOOKUP(B452,[1]FBCENC_PartnerAgencies_100725_r!$H$2:$L$561,5,0)</f>
        <v>S1014FP</v>
      </c>
      <c r="F452" t="str">
        <f>VLOOKUP(B452,[1]FBCENC_PartnerAgencies_100725_r!$H$2:$M$561,6,0)</f>
        <v>Carthage United Methodist</v>
      </c>
    </row>
    <row r="453" spans="1:6" x14ac:dyDescent="0.2">
      <c r="A453" s="1">
        <v>451</v>
      </c>
      <c r="B453" t="s">
        <v>787</v>
      </c>
      <c r="C453" t="s">
        <v>788</v>
      </c>
      <c r="D453" t="str">
        <f>VLOOKUP(B453,[1]FBCENC_PartnerAgencies_100725_r!$H$2:$K$561,4,0)</f>
        <v>S1015</v>
      </c>
      <c r="E453" t="str">
        <f>VLOOKUP(B453,[1]FBCENC_PartnerAgencies_100725_r!$H$2:$L$561,5,0)</f>
        <v>S1015FP</v>
      </c>
      <c r="F453" t="str">
        <f>VLOOKUP(B453,[1]FBCENC_PartnerAgencies_100725_r!$H$2:$M$561,6,0)</f>
        <v>Christ Memorial Church</v>
      </c>
    </row>
    <row r="454" spans="1:6" x14ac:dyDescent="0.2">
      <c r="A454" s="1">
        <v>452</v>
      </c>
      <c r="B454" t="s">
        <v>789</v>
      </c>
      <c r="C454" t="s">
        <v>790</v>
      </c>
      <c r="D454" t="str">
        <f>VLOOKUP(B454,[1]FBCENC_PartnerAgencies_100725_r!$H$2:$K$561,4,0)</f>
        <v>S1016</v>
      </c>
      <c r="E454" t="str">
        <f>VLOOKUP(B454,[1]FBCENC_PartnerAgencies_100725_r!$H$2:$L$561,5,0)</f>
        <v>S1016FP</v>
      </c>
      <c r="F454" t="str">
        <f>VLOOKUP(B454,[1]FBCENC_PartnerAgencies_100725_r!$H$2:$M$561,6,0)</f>
        <v>Christian Mission Center</v>
      </c>
    </row>
    <row r="455" spans="1:6" x14ac:dyDescent="0.2">
      <c r="A455" s="1">
        <v>453</v>
      </c>
      <c r="B455" t="s">
        <v>791</v>
      </c>
      <c r="C455" t="s">
        <v>792</v>
      </c>
      <c r="D455" t="str">
        <f>VLOOKUP(B455,[1]FBCENC_PartnerAgencies_100725_r!$H$2:$K$561,4,0)</f>
        <v>S1017</v>
      </c>
      <c r="E455" t="str">
        <f>VLOOKUP(B455,[1]FBCENC_PartnerAgencies_100725_r!$H$2:$L$561,5,0)</f>
        <v>S1017FP</v>
      </c>
      <c r="F455" t="str">
        <f>VLOOKUP(B455,[1]FBCENC_PartnerAgencies_100725_r!$H$2:$M$561,6,0)</f>
        <v>Church Community Services</v>
      </c>
    </row>
    <row r="456" spans="1:6" x14ac:dyDescent="0.2">
      <c r="A456" s="1">
        <v>454</v>
      </c>
      <c r="B456" t="s">
        <v>793</v>
      </c>
      <c r="C456" t="s">
        <v>794</v>
      </c>
      <c r="D456" t="str">
        <f>VLOOKUP(B456,[1]FBCENC_PartnerAgencies_100725_r!$H$2:$K$561,4,0)</f>
        <v>S1031</v>
      </c>
      <c r="E456" t="str">
        <f>VLOOKUP(B456,[1]FBCENC_PartnerAgencies_100725_r!$H$2:$L$561,5,0)</f>
        <v>S1031FP</v>
      </c>
      <c r="F456" t="str">
        <f>VLOOKUP(B456,[1]FBCENC_PartnerAgencies_100725_r!$H$2:$M$561,6,0)</f>
        <v>Eagle Springs Baptist Church</v>
      </c>
    </row>
    <row r="457" spans="1:6" x14ac:dyDescent="0.2">
      <c r="A457" s="1">
        <v>455</v>
      </c>
      <c r="B457" t="s">
        <v>795</v>
      </c>
      <c r="C457" t="s">
        <v>796</v>
      </c>
      <c r="D457" t="str">
        <f>VLOOKUP(B457,[1]FBCENC_PartnerAgencies_100725_r!$H$2:$K$561,4,0)</f>
        <v>S1032</v>
      </c>
      <c r="E457" t="str">
        <f>VLOOKUP(B457,[1]FBCENC_PartnerAgencies_100725_r!$H$2:$L$561,5,0)</f>
        <v>S1032FP</v>
      </c>
      <c r="F457" t="str">
        <f>VLOOKUP(B457,[1]FBCENC_PartnerAgencies_100725_r!$H$2:$M$561,6,0)</f>
        <v>Faith Assembly Church</v>
      </c>
    </row>
    <row r="458" spans="1:6" x14ac:dyDescent="0.2">
      <c r="A458" s="1">
        <v>456</v>
      </c>
      <c r="B458" t="s">
        <v>797</v>
      </c>
      <c r="C458" t="s">
        <v>798</v>
      </c>
      <c r="D458" t="str">
        <f>VLOOKUP(B458,[1]FBCENC_PartnerAgencies_100725_r!$H$2:$K$561,4,0)</f>
        <v>S1032</v>
      </c>
      <c r="E458" t="str">
        <f>VLOOKUP(B458,[1]FBCENC_PartnerAgencies_100725_r!$H$2:$L$561,5,0)</f>
        <v>S1032SK</v>
      </c>
      <c r="F458" t="str">
        <f>VLOOKUP(B458,[1]FBCENC_PartnerAgencies_100725_r!$H$2:$M$561,6,0)</f>
        <v>Faith Assembly Church</v>
      </c>
    </row>
    <row r="459" spans="1:6" x14ac:dyDescent="0.2">
      <c r="A459" s="1">
        <v>457</v>
      </c>
      <c r="B459" t="s">
        <v>799</v>
      </c>
      <c r="C459" t="s">
        <v>800</v>
      </c>
      <c r="D459" t="str">
        <f>VLOOKUP(B459,[1]FBCENC_PartnerAgencies_100725_r!$H$2:$K$561,4,0)</f>
        <v>S1044</v>
      </c>
      <c r="E459" t="str">
        <f>VLOOKUP(B459,[1]FBCENC_PartnerAgencies_100725_r!$H$2:$L$561,5,0)</f>
        <v>S1044FP</v>
      </c>
      <c r="F459" t="str">
        <f>VLOOKUP(B459,[1]FBCENC_PartnerAgencies_100725_r!$H$2:$M$561,6,0)</f>
        <v>Helping Hands of Hamlet</v>
      </c>
    </row>
    <row r="460" spans="1:6" x14ac:dyDescent="0.2">
      <c r="A460" s="1">
        <v>458</v>
      </c>
      <c r="B460" t="s">
        <v>801</v>
      </c>
      <c r="C460" t="s">
        <v>802</v>
      </c>
      <c r="D460" t="str">
        <f>VLOOKUP(B460,[1]FBCENC_PartnerAgencies_100725_r!$H$2:$K$561,4,0)</f>
        <v>S1045</v>
      </c>
      <c r="E460" t="str">
        <f>VLOOKUP(B460,[1]FBCENC_PartnerAgencies_100725_r!$H$2:$L$561,5,0)</f>
        <v>S1045FP</v>
      </c>
      <c r="F460" t="str">
        <f>VLOOKUP(B460,[1]FBCENC_PartnerAgencies_100725_r!$H$2:$M$561,6,0)</f>
        <v>High Falls United Methodist</v>
      </c>
    </row>
    <row r="461" spans="1:6" x14ac:dyDescent="0.2">
      <c r="A461" s="1">
        <v>459</v>
      </c>
      <c r="B461" t="s">
        <v>803</v>
      </c>
      <c r="C461" t="s">
        <v>804</v>
      </c>
      <c r="D461" t="str">
        <f>VLOOKUP(B461,[1]FBCENC_PartnerAgencies_100725_r!$H$2:$K$561,4,0)</f>
        <v>S1049</v>
      </c>
      <c r="E461" t="str">
        <f>VLOOKUP(B461,[1]FBCENC_PartnerAgencies_100725_r!$H$2:$L$561,5,0)</f>
        <v>S1049FP</v>
      </c>
      <c r="F461" t="str">
        <f>VLOOKUP(B461,[1]FBCENC_PartnerAgencies_100725_r!$H$2:$M$561,6,0)</f>
        <v>Jesus Is Justice Mission Inc</v>
      </c>
    </row>
    <row r="462" spans="1:6" x14ac:dyDescent="0.2">
      <c r="A462" s="1">
        <v>460</v>
      </c>
      <c r="B462" t="s">
        <v>805</v>
      </c>
      <c r="C462" t="s">
        <v>806</v>
      </c>
      <c r="D462" t="str">
        <f>VLOOKUP(B462,[1]FBCENC_PartnerAgencies_100725_r!$H$2:$K$561,4,0)</f>
        <v>S1050</v>
      </c>
      <c r="E462" t="str">
        <f>VLOOKUP(B462,[1]FBCENC_PartnerAgencies_100725_r!$H$2:$L$561,5,0)</f>
        <v>S1050SK</v>
      </c>
      <c r="F462" t="str">
        <f>VLOOKUP(B462,[1]FBCENC_PartnerAgencies_100725_r!$H$2:$M$561,6,0)</f>
        <v>King's Gate Church</v>
      </c>
    </row>
    <row r="463" spans="1:6" x14ac:dyDescent="0.2">
      <c r="A463" s="1">
        <v>461</v>
      </c>
      <c r="B463" t="s">
        <v>807</v>
      </c>
      <c r="C463" t="s">
        <v>808</v>
      </c>
      <c r="D463" t="str">
        <f>VLOOKUP(B463,[1]FBCENC_PartnerAgencies_100725_r!$H$2:$K$561,4,0)</f>
        <v>S1055</v>
      </c>
      <c r="E463" t="str">
        <f>VLOOKUP(B463,[1]FBCENC_PartnerAgencies_100725_r!$H$2:$L$561,5,0)</f>
        <v>S1055FP</v>
      </c>
      <c r="F463" t="str">
        <f>VLOOKUP(B463,[1]FBCENC_PartnerAgencies_100725_r!$H$2:$M$561,6,0)</f>
        <v>Mineral Springs Improvement</v>
      </c>
    </row>
    <row r="464" spans="1:6" x14ac:dyDescent="0.2">
      <c r="A464" s="1">
        <v>462</v>
      </c>
      <c r="B464" t="s">
        <v>809</v>
      </c>
      <c r="C464" t="s">
        <v>810</v>
      </c>
      <c r="D464" t="str">
        <f>VLOOKUP(B464,[1]FBCENC_PartnerAgencies_100725_r!$H$2:$K$561,4,0)</f>
        <v>S1058</v>
      </c>
      <c r="E464" t="str">
        <f>VLOOKUP(B464,[1]FBCENC_PartnerAgencies_100725_r!$H$2:$L$561,5,0)</f>
        <v>S1058FP</v>
      </c>
      <c r="F464" t="str">
        <f>VLOOKUP(B464,[1]FBCENC_PartnerAgencies_100725_r!$H$2:$M$561,6,0)</f>
        <v>Montgomery Churches in Action</v>
      </c>
    </row>
    <row r="465" spans="1:6" x14ac:dyDescent="0.2">
      <c r="A465" s="1">
        <v>463</v>
      </c>
      <c r="B465" t="s">
        <v>811</v>
      </c>
      <c r="C465" t="s">
        <v>812</v>
      </c>
      <c r="D465" t="str">
        <f>VLOOKUP(B465,[1]FBCENC_PartnerAgencies_100725_r!$H$2:$K$561,4,0)</f>
        <v>S1059</v>
      </c>
      <c r="E465" t="str">
        <f>VLOOKUP(B465,[1]FBCENC_PartnerAgencies_100725_r!$H$2:$L$561,5,0)</f>
        <v>S1059FP</v>
      </c>
      <c r="F465" t="str">
        <f>VLOOKUP(B465,[1]FBCENC_PartnerAgencies_100725_r!$H$2:$M$561,6,0)</f>
        <v>Mt Zion UCC/Rockingham</v>
      </c>
    </row>
    <row r="466" spans="1:6" x14ac:dyDescent="0.2">
      <c r="A466" s="1">
        <v>464</v>
      </c>
      <c r="B466" t="s">
        <v>813</v>
      </c>
      <c r="C466" t="s">
        <v>814</v>
      </c>
      <c r="D466" t="str">
        <f>VLOOKUP(B466,[1]FBCENC_PartnerAgencies_100725_r!$H$2:$K$561,4,0)</f>
        <v>S1063</v>
      </c>
      <c r="E466" t="str">
        <f>VLOOKUP(B466,[1]FBCENC_PartnerAgencies_100725_r!$H$2:$L$561,5,0)</f>
        <v>S1063FP</v>
      </c>
      <c r="F466" t="str">
        <f>VLOOKUP(B466,[1]FBCENC_PartnerAgencies_100725_r!$H$2:$M$561,6,0)</f>
        <v>New Zion Ame Zion Church</v>
      </c>
    </row>
    <row r="467" spans="1:6" x14ac:dyDescent="0.2">
      <c r="A467" s="1">
        <v>465</v>
      </c>
      <c r="B467" t="s">
        <v>815</v>
      </c>
      <c r="C467" t="s">
        <v>816</v>
      </c>
      <c r="D467" t="str">
        <f>VLOOKUP(B467,[1]FBCENC_PartnerAgencies_100725_r!$H$2:$K$561,4,0)</f>
        <v>S1065</v>
      </c>
      <c r="E467" t="str">
        <f>VLOOKUP(B467,[1]FBCENC_PartnerAgencies_100725_r!$H$2:$L$561,5,0)</f>
        <v>S1065FP1</v>
      </c>
      <c r="F467" t="str">
        <f>VLOOKUP(B467,[1]FBCENC_PartnerAgencies_100725_r!$H$2:$M$561,6,0)</f>
        <v>Our Daily Bread Christian Food</v>
      </c>
    </row>
    <row r="468" spans="1:6" x14ac:dyDescent="0.2">
      <c r="A468" s="1">
        <v>466</v>
      </c>
      <c r="B468" t="s">
        <v>817</v>
      </c>
      <c r="C468" t="s">
        <v>818</v>
      </c>
      <c r="D468" t="str">
        <f>VLOOKUP(B468,[1]FBCENC_PartnerAgencies_100725_r!$H$2:$K$561,4,0)</f>
        <v>S1066</v>
      </c>
      <c r="E468" t="str">
        <f>VLOOKUP(B468,[1]FBCENC_PartnerAgencies_100725_r!$H$2:$L$561,5,0)</f>
        <v>S1066FP</v>
      </c>
      <c r="F468" t="str">
        <f>VLOOKUP(B468,[1]FBCENC_PartnerAgencies_100725_r!$H$2:$M$561,6,0)</f>
        <v>Outreach for Jesus</v>
      </c>
    </row>
    <row r="469" spans="1:6" x14ac:dyDescent="0.2">
      <c r="A469" s="1">
        <v>467</v>
      </c>
      <c r="B469" t="s">
        <v>819</v>
      </c>
      <c r="C469" t="s">
        <v>820</v>
      </c>
      <c r="D469" t="str">
        <f>VLOOKUP(B469,[1]FBCENC_PartnerAgencies_100725_r!$H$2:$K$561,4,0)</f>
        <v>S1068</v>
      </c>
      <c r="E469" t="str">
        <f>VLOOKUP(B469,[1]FBCENC_PartnerAgencies_100725_r!$H$2:$L$561,5,0)</f>
        <v>S1068FP</v>
      </c>
      <c r="F469" t="str">
        <f>VLOOKUP(B469,[1]FBCENC_PartnerAgencies_100725_r!$H$2:$M$561,6,0)</f>
        <v>Pinebluff United Methodist Church</v>
      </c>
    </row>
    <row r="470" spans="1:6" x14ac:dyDescent="0.2">
      <c r="A470" s="1">
        <v>468</v>
      </c>
      <c r="B470" t="s">
        <v>821</v>
      </c>
      <c r="C470" t="s">
        <v>822</v>
      </c>
      <c r="D470" t="str">
        <f>VLOOKUP(B470,[1]FBCENC_PartnerAgencies_100725_r!$H$2:$K$561,4,0)</f>
        <v>S1070</v>
      </c>
      <c r="E470" t="str">
        <f>VLOOKUP(B470,[1]FBCENC_PartnerAgencies_100725_r!$H$2:$L$561,5,0)</f>
        <v>S1070FP</v>
      </c>
      <c r="F470" t="str">
        <f>VLOOKUP(B470,[1]FBCENC_PartnerAgencies_100725_r!$H$2:$M$561,6,0)</f>
        <v>Prayer and Faith Temple Church</v>
      </c>
    </row>
    <row r="471" spans="1:6" x14ac:dyDescent="0.2">
      <c r="A471" s="1">
        <v>469</v>
      </c>
      <c r="B471" t="s">
        <v>823</v>
      </c>
      <c r="C471" t="s">
        <v>824</v>
      </c>
      <c r="D471" t="str">
        <f>VLOOKUP(B471,[1]FBCENC_PartnerAgencies_100725_r!$H$2:$K$561,4,0)</f>
        <v>S1072</v>
      </c>
      <c r="E471" t="str">
        <f>VLOOKUP(B471,[1]FBCENC_PartnerAgencies_100725_r!$H$2:$L$561,5,0)</f>
        <v>S1072FP</v>
      </c>
      <c r="F471" t="str">
        <f>VLOOKUP(B471,[1]FBCENC_PartnerAgencies_100725_r!$H$2:$M$561,6,0)</f>
        <v>Restoring Hope Center</v>
      </c>
    </row>
    <row r="472" spans="1:6" x14ac:dyDescent="0.2">
      <c r="A472" s="1">
        <v>470</v>
      </c>
      <c r="B472" t="s">
        <v>825</v>
      </c>
      <c r="C472" t="s">
        <v>826</v>
      </c>
      <c r="D472" t="str">
        <f>VLOOKUP(B472,[1]FBCENC_PartnerAgencies_100725_r!$H$2:$K$561,4,0)</f>
        <v>S1074</v>
      </c>
      <c r="E472" t="str">
        <f>VLOOKUP(B472,[1]FBCENC_PartnerAgencies_100725_r!$H$2:$L$561,5,0)</f>
        <v>S1074FP</v>
      </c>
      <c r="F472" t="str">
        <f>VLOOKUP(B472,[1]FBCENC_PartnerAgencies_100725_r!$H$2:$M$561,6,0)</f>
        <v>Robbins Area Christian</v>
      </c>
    </row>
    <row r="473" spans="1:6" x14ac:dyDescent="0.2">
      <c r="A473" s="1">
        <v>471</v>
      </c>
      <c r="B473" t="s">
        <v>827</v>
      </c>
      <c r="C473" t="s">
        <v>828</v>
      </c>
      <c r="D473" t="str">
        <f>VLOOKUP(B473,[1]FBCENC_PartnerAgencies_100725_r!$H$2:$K$561,4,0)</f>
        <v>S1075</v>
      </c>
      <c r="E473" t="str">
        <f>VLOOKUP(B473,[1]FBCENC_PartnerAgencies_100725_r!$H$2:$L$561,5,0)</f>
        <v>S1075FP</v>
      </c>
      <c r="F473" t="str">
        <f>VLOOKUP(B473,[1]FBCENC_PartnerAgencies_100725_r!$H$2:$M$561,6,0)</f>
        <v>Partners In Ministry</v>
      </c>
    </row>
    <row r="474" spans="1:6" x14ac:dyDescent="0.2">
      <c r="A474" s="1">
        <v>472</v>
      </c>
      <c r="B474" t="s">
        <v>829</v>
      </c>
      <c r="C474" t="s">
        <v>830</v>
      </c>
      <c r="D474" t="str">
        <f>VLOOKUP(B474,[1]FBCENC_PartnerAgencies_100725_r!$H$2:$K$561,4,0)</f>
        <v>S1078</v>
      </c>
      <c r="E474" t="str">
        <f>VLOOKUP(B474,[1]FBCENC_PartnerAgencies_100725_r!$H$2:$L$561,5,0)</f>
        <v>S1078FP</v>
      </c>
      <c r="F474" t="str">
        <f>VLOOKUP(B474,[1]FBCENC_PartnerAgencies_100725_r!$H$2:$M$561,6,0)</f>
        <v>Salvation Army of Lee County</v>
      </c>
    </row>
    <row r="475" spans="1:6" x14ac:dyDescent="0.2">
      <c r="A475" s="1">
        <v>473</v>
      </c>
      <c r="B475" t="s">
        <v>831</v>
      </c>
      <c r="C475" t="s">
        <v>832</v>
      </c>
      <c r="D475" t="str">
        <f>VLOOKUP(B475,[1]FBCENC_PartnerAgencies_100725_r!$H$2:$K$561,4,0)</f>
        <v>S1079</v>
      </c>
      <c r="E475" t="str">
        <f>VLOOKUP(B475,[1]FBCENC_PartnerAgencies_100725_r!$H$2:$L$561,5,0)</f>
        <v>S1079FP</v>
      </c>
      <c r="F475" t="str">
        <f>VLOOKUP(B475,[1]FBCENC_PartnerAgencies_100725_r!$H$2:$M$561,6,0)</f>
        <v>Sandhills Moore Coalition</v>
      </c>
    </row>
    <row r="476" spans="1:6" x14ac:dyDescent="0.2">
      <c r="A476" s="1">
        <v>474</v>
      </c>
      <c r="B476" t="s">
        <v>833</v>
      </c>
      <c r="C476" t="s">
        <v>834</v>
      </c>
      <c r="D476" t="str">
        <f>VLOOKUP(B476,[1]FBCENC_PartnerAgencies_100725_r!$H$2:$K$561,4,0)</f>
        <v>S1082</v>
      </c>
      <c r="E476" t="str">
        <f>VLOOKUP(B476,[1]FBCENC_PartnerAgencies_100725_r!$H$2:$L$561,5,0)</f>
        <v>S1082FP</v>
      </c>
      <c r="F476" t="str">
        <f>VLOOKUP(B476,[1]FBCENC_PartnerAgencies_100725_r!$H$2:$M$561,6,0)</f>
        <v>Sandhills UCC</v>
      </c>
    </row>
    <row r="477" spans="1:6" x14ac:dyDescent="0.2">
      <c r="A477" s="1">
        <v>475</v>
      </c>
      <c r="B477" t="s">
        <v>835</v>
      </c>
      <c r="C477" t="s">
        <v>836</v>
      </c>
      <c r="D477" t="str">
        <f>VLOOKUP(B477,[1]FBCENC_PartnerAgencies_100725_r!$H$2:$K$561,4,0)</f>
        <v>S1087</v>
      </c>
      <c r="E477" t="str">
        <f>VLOOKUP(B477,[1]FBCENC_PartnerAgencies_100725_r!$H$2:$L$561,5,0)</f>
        <v>S1087FP</v>
      </c>
      <c r="F477" t="str">
        <f>VLOOKUP(B477,[1]FBCENC_PartnerAgencies_100725_r!$H$2:$M$561,6,0)</f>
        <v>Southern Mission Ministries</v>
      </c>
    </row>
    <row r="478" spans="1:6" x14ac:dyDescent="0.2">
      <c r="A478" s="1">
        <v>476</v>
      </c>
      <c r="B478" t="s">
        <v>837</v>
      </c>
      <c r="C478" t="s">
        <v>838</v>
      </c>
      <c r="D478" t="str">
        <f>VLOOKUP(B478,[1]FBCENC_PartnerAgencies_100725_r!$H$2:$K$561,4,0)</f>
        <v>S1088</v>
      </c>
      <c r="E478" t="str">
        <f>VLOOKUP(B478,[1]FBCENC_PartnerAgencies_100725_r!$H$2:$L$561,5,0)</f>
        <v>S1088FP</v>
      </c>
      <c r="F478" t="str">
        <f>VLOOKUP(B478,[1]FBCENC_PartnerAgencies_100725_r!$H$2:$M$561,6,0)</f>
        <v>Southern Pines UMC</v>
      </c>
    </row>
    <row r="479" spans="1:6" x14ac:dyDescent="0.2">
      <c r="A479" s="1">
        <v>477</v>
      </c>
      <c r="B479" t="s">
        <v>839</v>
      </c>
      <c r="C479" t="s">
        <v>5</v>
      </c>
      <c r="D479" t="str">
        <f>VLOOKUP(B479,[1]FBCENC_PartnerAgencies_100725_r!$H$2:$K$561,4,0)</f>
        <v>S1090</v>
      </c>
      <c r="E479" t="str">
        <f>VLOOKUP(B479,[1]FBCENC_PartnerAgencies_100725_r!$H$2:$L$561,5,0)</f>
        <v>S1090FP</v>
      </c>
      <c r="F479" t="str">
        <f>VLOOKUP(B479,[1]FBCENC_PartnerAgencies_100725_r!$H$2:$M$561,6,0)</f>
        <v>Saint Anthony's Catholic Church</v>
      </c>
    </row>
    <row r="480" spans="1:6" x14ac:dyDescent="0.2">
      <c r="A480" s="1">
        <v>478</v>
      </c>
      <c r="B480" t="s">
        <v>840</v>
      </c>
      <c r="C480" t="s">
        <v>841</v>
      </c>
      <c r="D480" t="str">
        <f>VLOOKUP(B480,[1]FBCENC_PartnerAgencies_100725_r!$H$2:$K$561,4,0)</f>
        <v>S1091</v>
      </c>
      <c r="E480" t="str">
        <f>VLOOKUP(B480,[1]FBCENC_PartnerAgencies_100725_r!$H$2:$L$561,5,0)</f>
        <v>S1091FP</v>
      </c>
      <c r="F480" t="str">
        <f>VLOOKUP(B480,[1]FBCENC_PartnerAgencies_100725_r!$H$2:$M$561,6,0)</f>
        <v>Saint John's Emergency Food</v>
      </c>
    </row>
    <row r="481" spans="1:6" x14ac:dyDescent="0.2">
      <c r="A481" s="1">
        <v>479</v>
      </c>
      <c r="B481" t="s">
        <v>842</v>
      </c>
      <c r="C481" t="s">
        <v>843</v>
      </c>
      <c r="D481" t="str">
        <f>VLOOKUP(B481,[1]FBCENC_PartnerAgencies_100725_r!$H$2:$K$561,4,0)</f>
        <v>S1092</v>
      </c>
      <c r="E481" t="str">
        <f>VLOOKUP(B481,[1]FBCENC_PartnerAgencies_100725_r!$H$2:$L$561,5,0)</f>
        <v>S1092FP</v>
      </c>
      <c r="F481" t="str">
        <f>VLOOKUP(B481,[1]FBCENC_PartnerAgencies_100725_r!$H$2:$M$561,6,0)</f>
        <v>Saint Luke United Methodist</v>
      </c>
    </row>
    <row r="482" spans="1:6" x14ac:dyDescent="0.2">
      <c r="A482" s="1">
        <v>480</v>
      </c>
      <c r="B482" t="s">
        <v>844</v>
      </c>
      <c r="C482" t="s">
        <v>845</v>
      </c>
      <c r="D482" t="str">
        <f>VLOOKUP(B482,[1]FBCENC_PartnerAgencies_100725_r!$H$2:$K$561,4,0)</f>
        <v>S1093</v>
      </c>
      <c r="E482" t="str">
        <f>VLOOKUP(B482,[1]FBCENC_PartnerAgencies_100725_r!$H$2:$L$561,5,0)</f>
        <v>S1093FP</v>
      </c>
      <c r="F482" t="str">
        <f>VLOOKUP(B482,[1]FBCENC_PartnerAgencies_100725_r!$H$2:$M$561,6,0)</f>
        <v>Saint Paul Lutheran</v>
      </c>
    </row>
    <row r="483" spans="1:6" x14ac:dyDescent="0.2">
      <c r="A483" s="1">
        <v>481</v>
      </c>
      <c r="B483" t="s">
        <v>846</v>
      </c>
      <c r="C483" t="s">
        <v>847</v>
      </c>
      <c r="D483" t="str">
        <f>VLOOKUP(B483,[1]FBCENC_PartnerAgencies_100725_r!$H$2:$K$561,4,0)</f>
        <v>S1095</v>
      </c>
      <c r="E483" t="str">
        <f>VLOOKUP(B483,[1]FBCENC_PartnerAgencies_100725_r!$H$2:$L$561,5,0)</f>
        <v>S1095FP</v>
      </c>
      <c r="F483" t="str">
        <f>VLOOKUP(B483,[1]FBCENC_PartnerAgencies_100725_r!$H$2:$M$561,6,0)</f>
        <v>Tabernacle Full Gospel</v>
      </c>
    </row>
    <row r="484" spans="1:6" x14ac:dyDescent="0.2">
      <c r="A484" s="1">
        <v>482</v>
      </c>
      <c r="B484" t="s">
        <v>848</v>
      </c>
      <c r="C484" t="s">
        <v>849</v>
      </c>
      <c r="D484" t="str">
        <f>VLOOKUP(B484,[1]FBCENC_PartnerAgencies_100725_r!$H$2:$K$561,4,0)</f>
        <v>S1096</v>
      </c>
      <c r="E484" t="str">
        <f>VLOOKUP(B484,[1]FBCENC_PartnerAgencies_100725_r!$H$2:$L$561,5,0)</f>
        <v>S1096FP</v>
      </c>
      <c r="F484" t="str">
        <f>VLOOKUP(B484,[1]FBCENC_PartnerAgencies_100725_r!$H$2:$M$561,6,0)</f>
        <v>The Worship Center</v>
      </c>
    </row>
    <row r="485" spans="1:6" x14ac:dyDescent="0.2">
      <c r="A485" s="1">
        <v>483</v>
      </c>
      <c r="B485" t="s">
        <v>850</v>
      </c>
      <c r="C485" t="s">
        <v>5</v>
      </c>
      <c r="D485" t="str">
        <f>VLOOKUP(B485,[1]FBCENC_PartnerAgencies_100725_r!$H$2:$K$561,4,0)</f>
        <v>S1097</v>
      </c>
      <c r="E485" t="str">
        <f>VLOOKUP(B485,[1]FBCENC_PartnerAgencies_100725_r!$H$2:$L$561,5,0)</f>
        <v>S1097FP</v>
      </c>
      <c r="F485" t="str">
        <f>VLOOKUP(B485,[1]FBCENC_PartnerAgencies_100725_r!$H$2:$M$561,6,0)</f>
        <v>Unionville Missionary Baptist</v>
      </c>
    </row>
    <row r="486" spans="1:6" x14ac:dyDescent="0.2">
      <c r="A486" s="1">
        <v>484</v>
      </c>
      <c r="B486" t="s">
        <v>851</v>
      </c>
      <c r="C486" t="s">
        <v>852</v>
      </c>
      <c r="D486" t="str">
        <f>VLOOKUP(B486,[1]FBCENC_PartnerAgencies_100725_r!$H$2:$K$561,4,0)</f>
        <v>S1101</v>
      </c>
      <c r="E486" t="str">
        <f>VLOOKUP(B486,[1]FBCENC_PartnerAgencies_100725_r!$H$2:$L$561,5,0)</f>
        <v>S1101FP</v>
      </c>
      <c r="F486" t="str">
        <f>VLOOKUP(B486,[1]FBCENC_PartnerAgencies_100725_r!$H$2:$M$561,6,0)</f>
        <v>West End United Methodist</v>
      </c>
    </row>
    <row r="487" spans="1:6" x14ac:dyDescent="0.2">
      <c r="A487" s="1">
        <v>485</v>
      </c>
      <c r="B487" t="s">
        <v>853</v>
      </c>
      <c r="C487" t="s">
        <v>854</v>
      </c>
      <c r="D487" t="str">
        <f>VLOOKUP(B487,[1]FBCENC_PartnerAgencies_100725_r!$H$2:$K$561,4,0)</f>
        <v>S1113</v>
      </c>
      <c r="E487" t="str">
        <f>VLOOKUP(B487,[1]FBCENC_PartnerAgencies_100725_r!$H$2:$L$561,5,0)</f>
        <v>S1113FP</v>
      </c>
      <c r="F487" t="str">
        <f>VLOOKUP(B487,[1]FBCENC_PartnerAgencies_100725_r!$H$2:$M$561,6,0)</f>
        <v>Vass Community Food Pantry</v>
      </c>
    </row>
    <row r="488" spans="1:6" x14ac:dyDescent="0.2">
      <c r="A488" s="1">
        <v>486</v>
      </c>
      <c r="B488" t="s">
        <v>855</v>
      </c>
      <c r="C488" t="s">
        <v>72</v>
      </c>
      <c r="D488" t="str">
        <f>VLOOKUP(B488,[1]FBCENC_PartnerAgencies_100725_r!$H$2:$K$561,4,0)</f>
        <v>S1115</v>
      </c>
      <c r="E488" t="str">
        <f>VLOOKUP(B488,[1]FBCENC_PartnerAgencies_100725_r!$H$2:$L$561,5,0)</f>
        <v>S1115SH1</v>
      </c>
      <c r="F488" t="str">
        <f>VLOOKUP(B488,[1]FBCENC_PartnerAgencies_100725_r!$H$2:$M$561,6,0)</f>
        <v>Outreach Mission Inc.</v>
      </c>
    </row>
    <row r="489" spans="1:6" x14ac:dyDescent="0.2">
      <c r="A489" s="1">
        <v>487</v>
      </c>
      <c r="B489" t="s">
        <v>856</v>
      </c>
      <c r="C489" t="s">
        <v>857</v>
      </c>
      <c r="D489" t="str">
        <f>VLOOKUP(B489,[1]FBCENC_PartnerAgencies_100725_r!$H$2:$K$561,4,0)</f>
        <v>S1116</v>
      </c>
      <c r="E489" t="str">
        <f>VLOOKUP(B489,[1]FBCENC_PartnerAgencies_100725_r!$H$2:$L$561,5,0)</f>
        <v>S1116FP</v>
      </c>
      <c r="F489" t="str">
        <f>VLOOKUP(B489,[1]FBCENC_PartnerAgencies_100725_r!$H$2:$M$561,6,0)</f>
        <v>Place of Grace</v>
      </c>
    </row>
    <row r="490" spans="1:6" x14ac:dyDescent="0.2">
      <c r="A490" s="1">
        <v>488</v>
      </c>
      <c r="B490" t="s">
        <v>858</v>
      </c>
      <c r="C490" t="s">
        <v>859</v>
      </c>
      <c r="D490" t="str">
        <f>VLOOKUP(B490,[1]FBCENC_PartnerAgencies_100725_r!$H$2:$K$561,4,0)</f>
        <v>S1120</v>
      </c>
      <c r="E490" t="str">
        <f>VLOOKUP(B490,[1]FBCENC_PartnerAgencies_100725_r!$H$2:$L$561,5,0)</f>
        <v>S1120FP</v>
      </c>
      <c r="F490" t="str">
        <f>VLOOKUP(B490,[1]FBCENC_PartnerAgencies_100725_r!$H$2:$M$561,6,0)</f>
        <v>Gift of Love Food Pantry</v>
      </c>
    </row>
    <row r="491" spans="1:6" x14ac:dyDescent="0.2">
      <c r="A491" s="1">
        <v>489</v>
      </c>
      <c r="B491" t="s">
        <v>860</v>
      </c>
      <c r="C491" t="s">
        <v>861</v>
      </c>
      <c r="D491" t="str">
        <f>VLOOKUP(B491,[1]FBCENC_PartnerAgencies_100725_r!$H$2:$K$561,4,0)</f>
        <v>W1003</v>
      </c>
      <c r="E491" t="str">
        <f>VLOOKUP(B491,[1]FBCENC_PartnerAgencies_100725_r!$H$2:$L$561,5,0)</f>
        <v>W1003FP</v>
      </c>
      <c r="F491" t="str">
        <f>VLOOKUP(B491,[1]FBCENC_PartnerAgencies_100725_r!$H$2:$M$561,6,0)</f>
        <v>Bogue Community Citizens</v>
      </c>
    </row>
    <row r="492" spans="1:6" x14ac:dyDescent="0.2">
      <c r="A492" s="1">
        <v>490</v>
      </c>
      <c r="B492" t="s">
        <v>862</v>
      </c>
      <c r="C492" t="s">
        <v>863</v>
      </c>
      <c r="D492" t="str">
        <f>VLOOKUP(B492,[1]FBCENC_PartnerAgencies_100725_r!$H$2:$K$561,4,0)</f>
        <v>W1004</v>
      </c>
      <c r="E492" t="str">
        <f>VLOOKUP(B492,[1]FBCENC_PartnerAgencies_100725_r!$H$2:$L$561,5,0)</f>
        <v>W1004SOF1</v>
      </c>
      <c r="F492" t="str">
        <f>VLOOKUP(B492,[1]FBCENC_PartnerAgencies_100725_r!$H$2:$M$561,6,0)</f>
        <v>Bread for Life</v>
      </c>
    </row>
    <row r="493" spans="1:6" x14ac:dyDescent="0.2">
      <c r="A493" s="1">
        <v>491</v>
      </c>
      <c r="B493" t="s">
        <v>864</v>
      </c>
      <c r="C493" t="s">
        <v>865</v>
      </c>
      <c r="D493" t="str">
        <f>VLOOKUP(B493,[1]FBCENC_PartnerAgencies_100725_r!$H$2:$K$561,4,0)</f>
        <v>W1007</v>
      </c>
      <c r="E493" t="str">
        <f>VLOOKUP(B493,[1]FBCENC_PartnerAgencies_100725_r!$H$2:$L$561,5,0)</f>
        <v>W1007FP1</v>
      </c>
      <c r="F493" t="str">
        <f>VLOOKUP(B493,[1]FBCENC_PartnerAgencies_100725_r!$H$2:$M$561,6,0)</f>
        <v>Brunswick Family Assistance</v>
      </c>
    </row>
    <row r="494" spans="1:6" x14ac:dyDescent="0.2">
      <c r="A494" s="1">
        <v>492</v>
      </c>
      <c r="B494" t="s">
        <v>866</v>
      </c>
      <c r="C494" t="s">
        <v>867</v>
      </c>
      <c r="D494" t="str">
        <f>VLOOKUP(B494,[1]FBCENC_PartnerAgencies_100725_r!$H$2:$K$561,4,0)</f>
        <v>W1007</v>
      </c>
      <c r="E494" t="str">
        <f>VLOOKUP(B494,[1]FBCENC_PartnerAgencies_100725_r!$H$2:$L$561,5,0)</f>
        <v>W1007FP2</v>
      </c>
      <c r="F494" t="str">
        <f>VLOOKUP(B494,[1]FBCENC_PartnerAgencies_100725_r!$H$2:$M$561,6,0)</f>
        <v>Brunswick Family Assistance</v>
      </c>
    </row>
    <row r="495" spans="1:6" x14ac:dyDescent="0.2">
      <c r="A495" s="1">
        <v>493</v>
      </c>
      <c r="B495" t="s">
        <v>868</v>
      </c>
      <c r="C495" t="s">
        <v>869</v>
      </c>
      <c r="D495" t="e">
        <f>VLOOKUP(B495,[1]FBCENC_PartnerAgencies_100725_r!$H$2:$K$561,4,0)</f>
        <v>#N/A</v>
      </c>
      <c r="E495" t="e">
        <f>VLOOKUP(B495,[1]FBCENC_PartnerAgencies_100725_r!$H$2:$L$561,5,0)</f>
        <v>#N/A</v>
      </c>
      <c r="F495" t="e">
        <f>VLOOKUP(B495,[1]FBCENC_PartnerAgencies_100725_r!$H$2:$M$561,6,0)</f>
        <v>#N/A</v>
      </c>
    </row>
    <row r="496" spans="1:6" x14ac:dyDescent="0.2">
      <c r="A496" s="1">
        <v>494</v>
      </c>
      <c r="B496" t="s">
        <v>870</v>
      </c>
      <c r="C496" t="s">
        <v>871</v>
      </c>
      <c r="D496" t="str">
        <f>VLOOKUP(B496,[1]FBCENC_PartnerAgencies_100725_r!$H$2:$K$561,4,0)</f>
        <v>W1010</v>
      </c>
      <c r="E496" t="str">
        <f>VLOOKUP(B496,[1]FBCENC_PartnerAgencies_100725_r!$H$2:$L$561,5,0)</f>
        <v>W1010FP1</v>
      </c>
      <c r="F496" t="str">
        <f>VLOOKUP(B496,[1]FBCENC_PartnerAgencies_100725_r!$H$2:$M$561,6,0)</f>
        <v>Gateway Community Church</v>
      </c>
    </row>
    <row r="497" spans="1:6" x14ac:dyDescent="0.2">
      <c r="A497" s="1">
        <v>495</v>
      </c>
      <c r="B497" t="s">
        <v>872</v>
      </c>
      <c r="C497" t="s">
        <v>873</v>
      </c>
      <c r="D497" t="str">
        <f>VLOOKUP(B497,[1]FBCENC_PartnerAgencies_100725_r!$H$2:$K$561,4,0)</f>
        <v>W1016</v>
      </c>
      <c r="E497" t="str">
        <f>VLOOKUP(B497,[1]FBCENC_PartnerAgencies_100725_r!$H$2:$L$561,5,0)</f>
        <v>W1016FP</v>
      </c>
      <c r="F497" t="str">
        <f>VLOOKUP(B497,[1]FBCENC_PartnerAgencies_100725_r!$H$2:$M$561,6,0)</f>
        <v>Catholic Charities</v>
      </c>
    </row>
    <row r="498" spans="1:6" x14ac:dyDescent="0.2">
      <c r="A498" s="1">
        <v>496</v>
      </c>
      <c r="B498" t="s">
        <v>507</v>
      </c>
      <c r="C498" t="s">
        <v>5</v>
      </c>
      <c r="D498" t="str">
        <f>VLOOKUP(B498,[1]FBCENC_PartnerAgencies_100725_r!$H$2:$K$561,4,0)</f>
        <v>R1183</v>
      </c>
      <c r="E498" t="str">
        <f>VLOOKUP(B498,[1]FBCENC_PartnerAgencies_100725_r!$H$2:$L$561,5,0)</f>
        <v>R1183SH1</v>
      </c>
      <c r="F498" t="str">
        <f>VLOOKUP(B498,[1]FBCENC_PartnerAgencies_100725_r!$H$2:$M$561,6,0)</f>
        <v>Healing Transitions</v>
      </c>
    </row>
    <row r="499" spans="1:6" x14ac:dyDescent="0.2">
      <c r="A499" s="1">
        <v>497</v>
      </c>
      <c r="B499" t="s">
        <v>874</v>
      </c>
      <c r="C499" t="s">
        <v>875</v>
      </c>
      <c r="D499" t="str">
        <f>VLOOKUP(B499,[1]FBCENC_PartnerAgencies_100725_r!$H$2:$K$561,4,0)</f>
        <v>W1029</v>
      </c>
      <c r="E499" t="str">
        <f>VLOOKUP(B499,[1]FBCENC_PartnerAgencies_100725_r!$H$2:$L$561,5,0)</f>
        <v>W1029FP</v>
      </c>
      <c r="F499" t="str">
        <f>VLOOKUP(B499,[1]FBCENC_PartnerAgencies_100725_r!$H$2:$M$561,6,0)</f>
        <v>Facts of Life Church</v>
      </c>
    </row>
    <row r="500" spans="1:6" x14ac:dyDescent="0.2">
      <c r="A500" s="1">
        <v>498</v>
      </c>
      <c r="B500" t="s">
        <v>876</v>
      </c>
      <c r="C500" t="s">
        <v>877</v>
      </c>
      <c r="D500" t="str">
        <f>VLOOKUP(B500,[1]FBCENC_PartnerAgencies_100725_r!$H$2:$K$561,4,0)</f>
        <v>W1029</v>
      </c>
      <c r="E500" t="str">
        <f>VLOOKUP(B500,[1]FBCENC_PartnerAgencies_100725_r!$H$2:$L$561,5,0)</f>
        <v>W1029SK</v>
      </c>
      <c r="F500" t="str">
        <f>VLOOKUP(B500,[1]FBCENC_PartnerAgencies_100725_r!$H$2:$M$561,6,0)</f>
        <v>Facts of Life Church</v>
      </c>
    </row>
    <row r="501" spans="1:6" x14ac:dyDescent="0.2">
      <c r="A501" s="1">
        <v>499</v>
      </c>
      <c r="B501" t="s">
        <v>878</v>
      </c>
      <c r="C501" t="s">
        <v>5</v>
      </c>
      <c r="D501" t="str">
        <f>VLOOKUP(B501,[1]FBCENC_PartnerAgencies_100725_r!$H$2:$K$561,4,0)</f>
        <v>W1031</v>
      </c>
      <c r="E501" t="str">
        <f>VLOOKUP(B501,[1]FBCENC_PartnerAgencies_100725_r!$H$2:$L$561,5,0)</f>
        <v>W1031SK</v>
      </c>
      <c r="F501" t="str">
        <f>VLOOKUP(B501,[1]FBCENC_PartnerAgencies_100725_r!$H$2:$M$561,6,0)</f>
        <v>First Baptist Church Carolina Beach</v>
      </c>
    </row>
    <row r="502" spans="1:6" x14ac:dyDescent="0.2">
      <c r="A502" s="1">
        <v>500</v>
      </c>
      <c r="B502" t="s">
        <v>879</v>
      </c>
      <c r="C502" t="s">
        <v>880</v>
      </c>
      <c r="D502" t="str">
        <f>VLOOKUP(B502,[1]FBCENC_PartnerAgencies_100725_r!$H$2:$K$561,4,0)</f>
        <v>W1032</v>
      </c>
      <c r="E502" t="str">
        <f>VLOOKUP(B502,[1]FBCENC_PartnerAgencies_100725_r!$H$2:$L$561,5,0)</f>
        <v>W1032FP</v>
      </c>
      <c r="F502" t="str">
        <f>VLOOKUP(B502,[1]FBCENC_PartnerAgencies_100725_r!$H$2:$M$561,6,0)</f>
        <v>Lake Waccamaw Food Ministry</v>
      </c>
    </row>
    <row r="503" spans="1:6" x14ac:dyDescent="0.2">
      <c r="A503" s="1">
        <v>501</v>
      </c>
      <c r="B503" t="s">
        <v>881</v>
      </c>
      <c r="C503" t="s">
        <v>243</v>
      </c>
      <c r="D503" t="str">
        <f>VLOOKUP(B503,[1]FBCENC_PartnerAgencies_100725_r!$H$2:$K$561,4,0)</f>
        <v>W1033</v>
      </c>
      <c r="E503" t="str">
        <f>VLOOKUP(B503,[1]FBCENC_PartnerAgencies_100725_r!$H$2:$L$561,5,0)</f>
        <v>W1033FP</v>
      </c>
      <c r="F503" t="str">
        <f>VLOOKUP(B503,[1]FBCENC_PartnerAgencies_100725_r!$H$2:$M$561,6,0)</f>
        <v>First Baptist Church of Leland</v>
      </c>
    </row>
    <row r="504" spans="1:6" x14ac:dyDescent="0.2">
      <c r="A504" s="1">
        <v>502</v>
      </c>
      <c r="B504" t="s">
        <v>882</v>
      </c>
      <c r="C504" t="s">
        <v>883</v>
      </c>
      <c r="D504" t="str">
        <f>VLOOKUP(B504,[1]FBCENC_PartnerAgencies_100725_r!$H$2:$K$561,4,0)</f>
        <v>W1034</v>
      </c>
      <c r="E504" t="str">
        <f>VLOOKUP(B504,[1]FBCENC_PartnerAgencies_100725_r!$H$2:$L$561,5,0)</f>
        <v>W1034FP</v>
      </c>
      <c r="F504" t="str">
        <f>VLOOKUP(B504,[1]FBCENC_PartnerAgencies_100725_r!$H$2:$M$561,6,0)</f>
        <v>First Fruit Ministries</v>
      </c>
    </row>
    <row r="505" spans="1:6" x14ac:dyDescent="0.2">
      <c r="A505" s="1">
        <v>503</v>
      </c>
      <c r="B505" t="s">
        <v>884</v>
      </c>
      <c r="C505" t="s">
        <v>885</v>
      </c>
      <c r="D505" t="str">
        <f>VLOOKUP(B505,[1]FBCENC_PartnerAgencies_100725_r!$H$2:$K$561,4,0)</f>
        <v>W1034</v>
      </c>
      <c r="E505" t="str">
        <f>VLOOKUP(B505,[1]FBCENC_PartnerAgencies_100725_r!$H$2:$L$561,5,0)</f>
        <v>W1034SH</v>
      </c>
      <c r="F505" t="str">
        <f>VLOOKUP(B505,[1]FBCENC_PartnerAgencies_100725_r!$H$2:$M$561,6,0)</f>
        <v>First Fruit Ministries</v>
      </c>
    </row>
    <row r="506" spans="1:6" x14ac:dyDescent="0.2">
      <c r="A506" s="1">
        <v>504</v>
      </c>
      <c r="B506" t="s">
        <v>886</v>
      </c>
      <c r="C506" t="s">
        <v>48</v>
      </c>
      <c r="D506" t="str">
        <f>VLOOKUP(B506,[1]FBCENC_PartnerAgencies_100725_r!$H$2:$K$561,4,0)</f>
        <v>W1036</v>
      </c>
      <c r="E506" t="str">
        <f>VLOOKUP(B506,[1]FBCENC_PartnerAgencies_100725_r!$H$2:$L$561,5,0)</f>
        <v>W1036FP</v>
      </c>
      <c r="F506" t="str">
        <f>VLOOKUP(B506,[1]FBCENC_PartnerAgencies_100725_r!$H$2:$M$561,6,0)</f>
        <v>Good Shepherd Center</v>
      </c>
    </row>
    <row r="507" spans="1:6" x14ac:dyDescent="0.2">
      <c r="A507" s="1">
        <v>505</v>
      </c>
      <c r="B507" t="s">
        <v>507</v>
      </c>
      <c r="C507" t="s">
        <v>5</v>
      </c>
      <c r="D507" t="str">
        <f>VLOOKUP(B507,[1]FBCENC_PartnerAgencies_100725_r!$H$2:$K$561,4,0)</f>
        <v>R1183</v>
      </c>
      <c r="E507" t="str">
        <f>VLOOKUP(B507,[1]FBCENC_PartnerAgencies_100725_r!$H$2:$L$561,5,0)</f>
        <v>R1183SH1</v>
      </c>
      <c r="F507" t="str">
        <f>VLOOKUP(B507,[1]FBCENC_PartnerAgencies_100725_r!$H$2:$M$561,6,0)</f>
        <v>Healing Transitions</v>
      </c>
    </row>
    <row r="508" spans="1:6" x14ac:dyDescent="0.2">
      <c r="A508" s="1">
        <v>506</v>
      </c>
      <c r="B508" t="s">
        <v>887</v>
      </c>
      <c r="C508" t="s">
        <v>361</v>
      </c>
      <c r="D508" t="str">
        <f>VLOOKUP(B508,[1]FBCENC_PartnerAgencies_100725_r!$H$2:$K$561,4,0)</f>
        <v>W1036</v>
      </c>
      <c r="E508" t="str">
        <f>VLOOKUP(B508,[1]FBCENC_PartnerAgencies_100725_r!$H$2:$L$561,5,0)</f>
        <v>W1036SK</v>
      </c>
      <c r="F508" t="str">
        <f>VLOOKUP(B508,[1]FBCENC_PartnerAgencies_100725_r!$H$2:$M$561,6,0)</f>
        <v>Good Shepherd Center</v>
      </c>
    </row>
    <row r="509" spans="1:6" x14ac:dyDescent="0.2">
      <c r="A509" s="1">
        <v>507</v>
      </c>
      <c r="B509" t="s">
        <v>888</v>
      </c>
      <c r="C509" t="s">
        <v>335</v>
      </c>
      <c r="D509" t="str">
        <f>VLOOKUP(B509,[1]FBCENC_PartnerAgencies_100725_r!$H$2:$K$561,4,0)</f>
        <v>W1039</v>
      </c>
      <c r="E509" t="str">
        <f>VLOOKUP(B509,[1]FBCENC_PartnerAgencies_100725_r!$H$2:$L$561,5,0)</f>
        <v>W1039FP</v>
      </c>
      <c r="F509" t="str">
        <f>VLOOKUP(B509,[1]FBCENC_PartnerAgencies_100725_r!$H$2:$M$561,6,0)</f>
        <v>Helping Hands St Stanislaus Catholic Church</v>
      </c>
    </row>
    <row r="510" spans="1:6" x14ac:dyDescent="0.2">
      <c r="A510" s="1">
        <v>508</v>
      </c>
      <c r="B510" t="s">
        <v>889</v>
      </c>
      <c r="C510" t="s">
        <v>243</v>
      </c>
      <c r="D510" t="str">
        <f>VLOOKUP(B510,[1]FBCENC_PartnerAgencies_100725_r!$H$2:$K$561,4,0)</f>
        <v>W1040</v>
      </c>
      <c r="E510" t="str">
        <f>VLOOKUP(B510,[1]FBCENC_PartnerAgencies_100725_r!$H$2:$L$561,5,0)</f>
        <v>W1040FP</v>
      </c>
      <c r="F510" t="str">
        <f>VLOOKUP(B510,[1]FBCENC_PartnerAgencies_100725_r!$H$2:$M$561,6,0)</f>
        <v>Hills Chapel Missionary</v>
      </c>
    </row>
    <row r="511" spans="1:6" x14ac:dyDescent="0.2">
      <c r="A511" s="1">
        <v>509</v>
      </c>
      <c r="B511" t="s">
        <v>890</v>
      </c>
      <c r="C511" t="s">
        <v>891</v>
      </c>
      <c r="D511" t="str">
        <f>VLOOKUP(B511,[1]FBCENC_PartnerAgencies_100725_r!$H$2:$K$561,4,0)</f>
        <v>W1041</v>
      </c>
      <c r="E511" t="str">
        <f>VLOOKUP(B511,[1]FBCENC_PartnerAgencies_100725_r!$H$2:$L$561,5,0)</f>
        <v>W1041FP</v>
      </c>
      <c r="F511" t="str">
        <f>VLOOKUP(B511,[1]FBCENC_PartnerAgencies_100725_r!$H$2:$M$561,6,0)</f>
        <v>House of Mercy</v>
      </c>
    </row>
    <row r="512" spans="1:6" x14ac:dyDescent="0.2">
      <c r="A512" s="1">
        <v>510</v>
      </c>
      <c r="B512" t="s">
        <v>892</v>
      </c>
      <c r="C512" t="s">
        <v>893</v>
      </c>
      <c r="D512" t="str">
        <f>VLOOKUP(B512,[1]FBCENC_PartnerAgencies_100725_r!$H$2:$K$561,4,0)</f>
        <v>W1042</v>
      </c>
      <c r="E512" t="str">
        <f>VLOOKUP(B512,[1]FBCENC_PartnerAgencies_100725_r!$H$2:$L$561,5,0)</f>
        <v>W1042FP</v>
      </c>
      <c r="F512" t="str">
        <f>VLOOKUP(B512,[1]FBCENC_PartnerAgencies_100725_r!$H$2:$M$561,6,0)</f>
        <v>Inspirational House of Praise</v>
      </c>
    </row>
    <row r="513" spans="1:6" x14ac:dyDescent="0.2">
      <c r="A513" s="1">
        <v>511</v>
      </c>
      <c r="B513" t="s">
        <v>894</v>
      </c>
      <c r="C513" t="s">
        <v>288</v>
      </c>
      <c r="D513" t="str">
        <f>VLOOKUP(B513,[1]FBCENC_PartnerAgencies_100725_r!$H$2:$K$561,4,0)</f>
        <v>W1049</v>
      </c>
      <c r="E513" t="str">
        <f>VLOOKUP(B513,[1]FBCENC_PartnerAgencies_100725_r!$H$2:$L$561,5,0)</f>
        <v>W1049FP</v>
      </c>
      <c r="F513" t="str">
        <f>VLOOKUP(B513,[1]FBCENC_PartnerAgencies_100725_r!$H$2:$M$561,6,0)</f>
        <v>Lifesavers Outreach</v>
      </c>
    </row>
    <row r="514" spans="1:6" x14ac:dyDescent="0.2">
      <c r="A514" s="1">
        <v>512</v>
      </c>
      <c r="B514" t="s">
        <v>895</v>
      </c>
      <c r="C514" t="s">
        <v>5</v>
      </c>
      <c r="D514" t="str">
        <f>VLOOKUP(B514,[1]FBCENC_PartnerAgencies_100725_r!$H$2:$K$561,4,0)</f>
        <v>W1051</v>
      </c>
      <c r="E514" t="str">
        <f>VLOOKUP(B514,[1]FBCENC_PartnerAgencies_100725_r!$H$2:$L$561,5,0)</f>
        <v>W1051FP</v>
      </c>
      <c r="F514" t="str">
        <f>VLOOKUP(B514,[1]FBCENC_PartnerAgencies_100725_r!$H$2:$M$561,6,0)</f>
        <v>Living Word Church</v>
      </c>
    </row>
    <row r="515" spans="1:6" x14ac:dyDescent="0.2">
      <c r="A515" s="1">
        <v>513</v>
      </c>
      <c r="B515" t="s">
        <v>896</v>
      </c>
      <c r="C515" t="s">
        <v>897</v>
      </c>
      <c r="D515" t="str">
        <f>VLOOKUP(B515,[1]FBCENC_PartnerAgencies_100725_r!$H$2:$K$561,4,0)</f>
        <v>W1052</v>
      </c>
      <c r="E515" t="str">
        <f>VLOOKUP(B515,[1]FBCENC_PartnerAgencies_100725_r!$H$2:$L$561,5,0)</f>
        <v>W1052FP</v>
      </c>
      <c r="F515" t="str">
        <f>VLOOKUP(B515,[1]FBCENC_PartnerAgencies_100725_r!$H$2:$M$561,6,0)</f>
        <v>Livingstones Tabernacle</v>
      </c>
    </row>
    <row r="516" spans="1:6" x14ac:dyDescent="0.2">
      <c r="A516" s="1">
        <v>514</v>
      </c>
      <c r="B516" t="s">
        <v>898</v>
      </c>
      <c r="C516" t="s">
        <v>899</v>
      </c>
      <c r="D516" t="str">
        <f>VLOOKUP(B516,[1]FBCENC_PartnerAgencies_100725_r!$H$2:$K$561,4,0)</f>
        <v>W1053</v>
      </c>
      <c r="E516" t="str">
        <f>VLOOKUP(B516,[1]FBCENC_PartnerAgencies_100725_r!$H$2:$L$561,5,0)</f>
        <v>W1053FP</v>
      </c>
      <c r="F516" t="str">
        <f>VLOOKUP(B516,[1]FBCENC_PartnerAgencies_100725_r!$H$2:$M$561,6,0)</f>
        <v>Love of Christ Ministries</v>
      </c>
    </row>
    <row r="517" spans="1:6" x14ac:dyDescent="0.2">
      <c r="A517" s="1">
        <v>515</v>
      </c>
      <c r="B517" t="s">
        <v>900</v>
      </c>
      <c r="C517" t="s">
        <v>901</v>
      </c>
      <c r="D517" t="str">
        <f>VLOOKUP(B517,[1]FBCENC_PartnerAgencies_100725_r!$H$2:$K$561,4,0)</f>
        <v>W1055</v>
      </c>
      <c r="E517" t="str">
        <f>VLOOKUP(B517,[1]FBCENC_PartnerAgencies_100725_r!$H$2:$L$561,5,0)</f>
        <v>W1055FP1</v>
      </c>
      <c r="F517" t="str">
        <f>VLOOKUP(B517,[1]FBCENC_PartnerAgencies_100725_r!$H$2:$M$561,6,0)</f>
        <v>Men and Women United for Youth and Families</v>
      </c>
    </row>
    <row r="518" spans="1:6" x14ac:dyDescent="0.2">
      <c r="A518" s="1">
        <v>516</v>
      </c>
      <c r="B518" t="s">
        <v>902</v>
      </c>
      <c r="C518" t="s">
        <v>903</v>
      </c>
      <c r="D518" t="e">
        <f>VLOOKUP(B518,[1]FBCENC_PartnerAgencies_100725_r!$H$2:$K$561,4,0)</f>
        <v>#N/A</v>
      </c>
      <c r="E518" t="e">
        <f>VLOOKUP(B518,[1]FBCENC_PartnerAgencies_100725_r!$H$2:$L$561,5,0)</f>
        <v>#N/A</v>
      </c>
      <c r="F518" t="e">
        <f>VLOOKUP(B518,[1]FBCENC_PartnerAgencies_100725_r!$H$2:$M$561,6,0)</f>
        <v>#N/A</v>
      </c>
    </row>
    <row r="519" spans="1:6" x14ac:dyDescent="0.2">
      <c r="A519" s="1">
        <v>517</v>
      </c>
      <c r="B519" t="s">
        <v>904</v>
      </c>
      <c r="C519" t="s">
        <v>905</v>
      </c>
      <c r="D519" t="str">
        <f>VLOOKUP(B519,[1]FBCENC_PartnerAgencies_100725_r!$H$2:$K$561,4,0)</f>
        <v>W1057</v>
      </c>
      <c r="E519" t="str">
        <f>VLOOKUP(B519,[1]FBCENC_PartnerAgencies_100725_r!$H$2:$L$561,5,0)</f>
        <v>W1057FP</v>
      </c>
      <c r="F519" t="str">
        <f>VLOOKUP(B519,[1]FBCENC_PartnerAgencies_100725_r!$H$2:$M$561,6,0)</f>
        <v>Mt Olive AME Church - Helping Hand Food Pantry</v>
      </c>
    </row>
    <row r="520" spans="1:6" x14ac:dyDescent="0.2">
      <c r="A520" s="1">
        <v>518</v>
      </c>
      <c r="B520" t="s">
        <v>906</v>
      </c>
      <c r="C520" t="s">
        <v>907</v>
      </c>
      <c r="D520" t="str">
        <f>VLOOKUP(B520,[1]FBCENC_PartnerAgencies_100725_r!$H$2:$K$561,4,0)</f>
        <v>W1068</v>
      </c>
      <c r="E520" t="str">
        <f>VLOOKUP(B520,[1]FBCENC_PartnerAgencies_100725_r!$H$2:$L$561,5,0)</f>
        <v>W1068FP</v>
      </c>
      <c r="F520" t="str">
        <f>VLOOKUP(B520,[1]FBCENC_PartnerAgencies_100725_r!$H$2:$M$561,6,0)</f>
        <v>Pender County Christian Services</v>
      </c>
    </row>
    <row r="521" spans="1:6" x14ac:dyDescent="0.2">
      <c r="A521" s="1">
        <v>519</v>
      </c>
      <c r="B521" t="s">
        <v>908</v>
      </c>
      <c r="C521" t="s">
        <v>909</v>
      </c>
      <c r="D521" t="str">
        <f>VLOOKUP(B521,[1]FBCENC_PartnerAgencies_100725_r!$H$2:$K$561,4,0)</f>
        <v>W1072</v>
      </c>
      <c r="E521" t="str">
        <f>VLOOKUP(B521,[1]FBCENC_PartnerAgencies_100725_r!$H$2:$L$561,5,0)</f>
        <v>W1072FP</v>
      </c>
      <c r="F521" t="str">
        <f>VLOOKUP(B521,[1]FBCENC_PartnerAgencies_100725_r!$H$2:$M$561,6,0)</f>
        <v>Salvation and Deliverance Family Worship Center</v>
      </c>
    </row>
    <row r="522" spans="1:6" x14ac:dyDescent="0.2">
      <c r="A522" s="1">
        <v>520</v>
      </c>
      <c r="B522" t="s">
        <v>910</v>
      </c>
      <c r="C522" t="s">
        <v>466</v>
      </c>
      <c r="D522" t="str">
        <f>VLOOKUP(B522,[1]FBCENC_PartnerAgencies_100725_r!$H$2:$K$561,4,0)</f>
        <v>W1073</v>
      </c>
      <c r="E522" t="str">
        <f>VLOOKUP(B522,[1]FBCENC_PartnerAgencies_100725_r!$H$2:$L$561,5,0)</f>
        <v>W1073FP</v>
      </c>
      <c r="F522" t="str">
        <f>VLOOKUP(B522,[1]FBCENC_PartnerAgencies_100725_r!$H$2:$M$561,6,0)</f>
        <v>Salvation Army - Wilmington</v>
      </c>
    </row>
    <row r="523" spans="1:6" x14ac:dyDescent="0.2">
      <c r="A523" s="1">
        <v>521</v>
      </c>
      <c r="B523" t="s">
        <v>884</v>
      </c>
      <c r="C523" t="s">
        <v>885</v>
      </c>
      <c r="D523" t="str">
        <f>VLOOKUP(B523,[1]FBCENC_PartnerAgencies_100725_r!$H$2:$K$561,4,0)</f>
        <v>W1034</v>
      </c>
      <c r="E523" t="str">
        <f>VLOOKUP(B523,[1]FBCENC_PartnerAgencies_100725_r!$H$2:$L$561,5,0)</f>
        <v>W1034SH</v>
      </c>
      <c r="F523" t="str">
        <f>VLOOKUP(B523,[1]FBCENC_PartnerAgencies_100725_r!$H$2:$M$561,6,0)</f>
        <v>First Fruit Ministries</v>
      </c>
    </row>
    <row r="524" spans="1:6" x14ac:dyDescent="0.2">
      <c r="A524" s="1">
        <v>522</v>
      </c>
      <c r="B524" t="s">
        <v>911</v>
      </c>
      <c r="C524" t="s">
        <v>912</v>
      </c>
      <c r="D524" t="str">
        <f>VLOOKUP(B524,[1]FBCENC_PartnerAgencies_100725_r!$H$2:$K$561,4,0)</f>
        <v>W1079</v>
      </c>
      <c r="E524" t="str">
        <f>VLOOKUP(B524,[1]FBCENC_PartnerAgencies_100725_r!$H$2:$L$561,5,0)</f>
        <v>W1079FP</v>
      </c>
      <c r="F524" t="str">
        <f>VLOOKUP(B524,[1]FBCENC_PartnerAgencies_100725_r!$H$2:$M$561,6,0)</f>
        <v>Share the Table Inc</v>
      </c>
    </row>
    <row r="525" spans="1:6" x14ac:dyDescent="0.2">
      <c r="A525" s="1">
        <v>523</v>
      </c>
      <c r="B525" t="s">
        <v>913</v>
      </c>
      <c r="C525" t="s">
        <v>914</v>
      </c>
      <c r="D525" t="str">
        <f>VLOOKUP(B525,[1]FBCENC_PartnerAgencies_100725_r!$H$2:$K$561,4,0)</f>
        <v>W1079</v>
      </c>
      <c r="E525" t="str">
        <f>VLOOKUP(B525,[1]FBCENC_PartnerAgencies_100725_r!$H$2:$L$561,5,0)</f>
        <v>W1079SK</v>
      </c>
      <c r="F525" t="str">
        <f>VLOOKUP(B525,[1]FBCENC_PartnerAgencies_100725_r!$H$2:$M$561,6,0)</f>
        <v>Share the Table Inc</v>
      </c>
    </row>
    <row r="526" spans="1:6" x14ac:dyDescent="0.2">
      <c r="A526" s="1">
        <v>524</v>
      </c>
      <c r="B526" t="s">
        <v>915</v>
      </c>
      <c r="C526" t="s">
        <v>916</v>
      </c>
      <c r="D526" t="str">
        <f>VLOOKUP(B526,[1]FBCENC_PartnerAgencies_100725_r!$H$2:$K$561,4,0)</f>
        <v>W1080</v>
      </c>
      <c r="E526" t="str">
        <f>VLOOKUP(B526,[1]FBCENC_PartnerAgencies_100725_r!$H$2:$L$561,5,0)</f>
        <v>W1080FP</v>
      </c>
      <c r="F526" t="str">
        <f>VLOOKUP(B526,[1]FBCENC_PartnerAgencies_100725_r!$H$2:$M$561,6,0)</f>
        <v>Shoreline Baptist Church</v>
      </c>
    </row>
    <row r="527" spans="1:6" x14ac:dyDescent="0.2">
      <c r="A527" s="1">
        <v>525</v>
      </c>
      <c r="B527" t="s">
        <v>917</v>
      </c>
      <c r="C527" t="s">
        <v>918</v>
      </c>
      <c r="D527" t="str">
        <f>VLOOKUP(B527,[1]FBCENC_PartnerAgencies_100725_r!$H$2:$K$561,4,0)</f>
        <v>W1081</v>
      </c>
      <c r="E527" t="str">
        <f>VLOOKUP(B527,[1]FBCENC_PartnerAgencies_100725_r!$H$2:$L$561,5,0)</f>
        <v>W1081FP</v>
      </c>
      <c r="F527" t="str">
        <f>VLOOKUP(B527,[1]FBCENC_PartnerAgencies_100725_r!$H$2:$M$561,6,0)</f>
        <v>Sonrise Independent Baptist</v>
      </c>
    </row>
    <row r="528" spans="1:6" x14ac:dyDescent="0.2">
      <c r="A528" s="1">
        <v>526</v>
      </c>
      <c r="B528" t="s">
        <v>919</v>
      </c>
      <c r="C528" t="s">
        <v>539</v>
      </c>
      <c r="D528" t="str">
        <f>VLOOKUP(B528,[1]FBCENC_PartnerAgencies_100725_r!$H$2:$K$561,4,0)</f>
        <v>W1082</v>
      </c>
      <c r="E528" t="str">
        <f>VLOOKUP(B528,[1]FBCENC_PartnerAgencies_100725_r!$H$2:$L$561,5,0)</f>
        <v>W1082FP</v>
      </c>
      <c r="F528" t="str">
        <f>VLOOKUP(B528,[1]FBCENC_PartnerAgencies_100725_r!$H$2:$M$561,6,0)</f>
        <v>South Brunswick Inter-Church</v>
      </c>
    </row>
    <row r="529" spans="1:6" x14ac:dyDescent="0.2">
      <c r="A529" s="1">
        <v>527</v>
      </c>
      <c r="B529" t="s">
        <v>920</v>
      </c>
      <c r="C529" t="s">
        <v>921</v>
      </c>
      <c r="D529" t="str">
        <f>VLOOKUP(B529,[1]FBCENC_PartnerAgencies_100725_r!$H$2:$K$561,4,0)</f>
        <v>W1083</v>
      </c>
      <c r="E529" t="str">
        <f>VLOOKUP(B529,[1]FBCENC_PartnerAgencies_100725_r!$H$2:$L$561,5,0)</f>
        <v>W1083FP</v>
      </c>
      <c r="F529" t="str">
        <f>VLOOKUP(B529,[1]FBCENC_PartnerAgencies_100725_r!$H$2:$M$561,6,0)</f>
        <v>Southport Oak Island InterChur</v>
      </c>
    </row>
    <row r="530" spans="1:6" x14ac:dyDescent="0.2">
      <c r="A530" s="1">
        <v>528</v>
      </c>
      <c r="B530" t="s">
        <v>922</v>
      </c>
      <c r="C530" t="s">
        <v>288</v>
      </c>
      <c r="D530" t="str">
        <f>VLOOKUP(B530,[1]FBCENC_PartnerAgencies_100725_r!$H$2:$K$561,4,0)</f>
        <v>W1084</v>
      </c>
      <c r="E530" t="str">
        <f>VLOOKUP(B530,[1]FBCENC_PartnerAgencies_100725_r!$H$2:$L$561,5,0)</f>
        <v>W1084FP</v>
      </c>
      <c r="F530" t="str">
        <f>VLOOKUP(B530,[1]FBCENC_PartnerAgencies_100725_r!$H$2:$M$561,6,0)</f>
        <v>Saint Brendans Church</v>
      </c>
    </row>
    <row r="531" spans="1:6" x14ac:dyDescent="0.2">
      <c r="A531" s="1">
        <v>529</v>
      </c>
      <c r="B531" t="s">
        <v>923</v>
      </c>
      <c r="C531" t="s">
        <v>924</v>
      </c>
      <c r="D531" t="str">
        <f>VLOOKUP(B531,[1]FBCENC_PartnerAgencies_100725_r!$H$2:$K$561,4,0)</f>
        <v>W1085</v>
      </c>
      <c r="E531" t="str">
        <f>VLOOKUP(B531,[1]FBCENC_PartnerAgencies_100725_r!$H$2:$L$561,5,0)</f>
        <v>W1085FP</v>
      </c>
      <c r="F531" t="str">
        <f>VLOOKUP(B531,[1]FBCENC_PartnerAgencies_100725_r!$H$2:$M$561,6,0)</f>
        <v>Saint Joseph Parish Outreach</v>
      </c>
    </row>
    <row r="532" spans="1:6" x14ac:dyDescent="0.2">
      <c r="A532" s="1">
        <v>530</v>
      </c>
      <c r="B532" t="s">
        <v>925</v>
      </c>
      <c r="C532" t="s">
        <v>926</v>
      </c>
      <c r="D532" t="str">
        <f>VLOOKUP(B532,[1]FBCENC_PartnerAgencies_100725_r!$H$2:$K$561,4,0)</f>
        <v>W1086</v>
      </c>
      <c r="E532" t="str">
        <f>VLOOKUP(B532,[1]FBCENC_PartnerAgencies_100725_r!$H$2:$L$561,5,0)</f>
        <v>W1086FP</v>
      </c>
      <c r="F532" t="str">
        <f>VLOOKUP(B532,[1]FBCENC_PartnerAgencies_100725_r!$H$2:$M$561,6,0)</f>
        <v>Saint Jude's Metropolitan</v>
      </c>
    </row>
    <row r="533" spans="1:6" x14ac:dyDescent="0.2">
      <c r="A533" s="1">
        <v>531</v>
      </c>
      <c r="B533" t="s">
        <v>927</v>
      </c>
      <c r="C533" t="s">
        <v>928</v>
      </c>
      <c r="D533" t="str">
        <f>VLOOKUP(B533,[1]FBCENC_PartnerAgencies_100725_r!$H$2:$K$561,4,0)</f>
        <v>W1087</v>
      </c>
      <c r="E533" t="str">
        <f>VLOOKUP(B533,[1]FBCENC_PartnerAgencies_100725_r!$H$2:$L$561,5,0)</f>
        <v>W1087FP</v>
      </c>
      <c r="F533" t="str">
        <f>VLOOKUP(B533,[1]FBCENC_PartnerAgencies_100725_r!$H$2:$M$561,6,0)</f>
        <v>Saint Mary Missionary Baptist</v>
      </c>
    </row>
    <row r="534" spans="1:6" x14ac:dyDescent="0.2">
      <c r="A534" s="1">
        <v>532</v>
      </c>
      <c r="B534" t="s">
        <v>929</v>
      </c>
      <c r="C534" t="s">
        <v>29</v>
      </c>
      <c r="D534" t="str">
        <f>VLOOKUP(B534,[1]FBCENC_PartnerAgencies_100725_r!$H$2:$K$561,4,0)</f>
        <v>W1088</v>
      </c>
      <c r="E534" t="str">
        <f>VLOOKUP(B534,[1]FBCENC_PartnerAgencies_100725_r!$H$2:$L$561,5,0)</f>
        <v>W1088FP</v>
      </c>
      <c r="F534" t="str">
        <f>VLOOKUP(B534,[1]FBCENC_PartnerAgencies_100725_r!$H$2:$M$561,6,0)</f>
        <v>Saint Paul AME Zion Church</v>
      </c>
    </row>
    <row r="535" spans="1:6" x14ac:dyDescent="0.2">
      <c r="A535" s="1">
        <v>533</v>
      </c>
      <c r="B535" t="s">
        <v>930</v>
      </c>
      <c r="C535" t="s">
        <v>105</v>
      </c>
      <c r="D535" t="str">
        <f>VLOOKUP(B535,[1]FBCENC_PartnerAgencies_100725_r!$H$2:$K$561,4,0)</f>
        <v>W1089</v>
      </c>
      <c r="E535" t="str">
        <f>VLOOKUP(B535,[1]FBCENC_PartnerAgencies_100725_r!$H$2:$L$561,5,0)</f>
        <v>W1089FP</v>
      </c>
      <c r="F535" t="str">
        <f>VLOOKUP(B535,[1]FBCENC_PartnerAgencies_100725_r!$H$2:$M$561,6,0)</f>
        <v>CEC of Saint Peter the Fisherman</v>
      </c>
    </row>
    <row r="536" spans="1:6" x14ac:dyDescent="0.2">
      <c r="A536" s="1">
        <v>534</v>
      </c>
      <c r="B536" t="s">
        <v>931</v>
      </c>
      <c r="C536" t="s">
        <v>932</v>
      </c>
      <c r="D536" t="str">
        <f>VLOOKUP(B536,[1]FBCENC_PartnerAgencies_100725_r!$H$2:$K$561,4,0)</f>
        <v>W1089</v>
      </c>
      <c r="E536" t="str">
        <f>VLOOKUP(B536,[1]FBCENC_PartnerAgencies_100725_r!$H$2:$L$561,5,0)</f>
        <v>W1089SK</v>
      </c>
      <c r="F536" t="str">
        <f>VLOOKUP(B536,[1]FBCENC_PartnerAgencies_100725_r!$H$2:$M$561,6,0)</f>
        <v>CEC of Saint Peter the Fisherman Inc</v>
      </c>
    </row>
    <row r="537" spans="1:6" x14ac:dyDescent="0.2">
      <c r="A537" s="1">
        <v>535</v>
      </c>
      <c r="B537" t="s">
        <v>933</v>
      </c>
      <c r="C537" t="s">
        <v>5</v>
      </c>
      <c r="D537" t="str">
        <f>VLOOKUP(B537,[1]FBCENC_PartnerAgencies_100725_r!$H$2:$K$561,4,0)</f>
        <v>W1093</v>
      </c>
      <c r="E537" t="str">
        <f>VLOOKUP(B537,[1]FBCENC_PartnerAgencies_100725_r!$H$2:$L$561,5,0)</f>
        <v>W1093FP</v>
      </c>
      <c r="F537" t="str">
        <f>VLOOKUP(B537,[1]FBCENC_PartnerAgencies_100725_r!$H$2:$M$561,6,0)</f>
        <v>The Help Center of Federal</v>
      </c>
    </row>
    <row r="538" spans="1:6" x14ac:dyDescent="0.2">
      <c r="A538" s="1">
        <v>536</v>
      </c>
      <c r="B538" t="s">
        <v>934</v>
      </c>
      <c r="C538" t="s">
        <v>935</v>
      </c>
      <c r="D538" t="e">
        <f>VLOOKUP(B538,[1]FBCENC_PartnerAgencies_100725_r!$H$2:$K$561,4,0)</f>
        <v>#N/A</v>
      </c>
      <c r="E538" t="e">
        <f>VLOOKUP(B538,[1]FBCENC_PartnerAgencies_100725_r!$H$2:$L$561,5,0)</f>
        <v>#N/A</v>
      </c>
      <c r="F538" t="e">
        <f>VLOOKUP(B538,[1]FBCENC_PartnerAgencies_100725_r!$H$2:$M$561,6,0)</f>
        <v>#N/A</v>
      </c>
    </row>
    <row r="539" spans="1:6" x14ac:dyDescent="0.2">
      <c r="A539" s="1">
        <v>537</v>
      </c>
      <c r="B539" t="s">
        <v>936</v>
      </c>
      <c r="C539" t="s">
        <v>937</v>
      </c>
      <c r="D539" t="str">
        <f>VLOOKUP(B539,[1]FBCENC_PartnerAgencies_100725_r!$H$2:$K$561,4,0)</f>
        <v>W1098</v>
      </c>
      <c r="E539" t="str">
        <f>VLOOKUP(B539,[1]FBCENC_PartnerAgencies_100725_r!$H$2:$L$561,5,0)</f>
        <v>W1098FP</v>
      </c>
      <c r="F539" t="str">
        <f>VLOOKUP(B539,[1]FBCENC_PartnerAgencies_100725_r!$H$2:$M$561,6,0)</f>
        <v>Towncreek Vision Corporation</v>
      </c>
    </row>
    <row r="540" spans="1:6" x14ac:dyDescent="0.2">
      <c r="A540" s="1">
        <v>538</v>
      </c>
      <c r="B540" t="s">
        <v>938</v>
      </c>
      <c r="C540" t="s">
        <v>939</v>
      </c>
      <c r="D540" t="str">
        <f>VLOOKUP(B540,[1]FBCENC_PartnerAgencies_100725_r!$H$2:$K$561,4,0)</f>
        <v>W1100</v>
      </c>
      <c r="E540" t="str">
        <f>VLOOKUP(B540,[1]FBCENC_PartnerAgencies_100725_r!$H$2:$L$561,5,0)</f>
        <v>W1100FP</v>
      </c>
      <c r="F540" t="str">
        <f>VLOOKUP(B540,[1]FBCENC_PartnerAgencies_100725_r!$H$2:$M$561,6,0)</f>
        <v>Trinity Missionary Baptist</v>
      </c>
    </row>
    <row r="541" spans="1:6" x14ac:dyDescent="0.2">
      <c r="A541" s="1">
        <v>539</v>
      </c>
      <c r="B541" t="s">
        <v>940</v>
      </c>
      <c r="C541" t="s">
        <v>941</v>
      </c>
      <c r="D541" t="str">
        <f>VLOOKUP(B541,[1]FBCENC_PartnerAgencies_100725_r!$H$2:$K$561,4,0)</f>
        <v>W1103</v>
      </c>
      <c r="E541" t="str">
        <f>VLOOKUP(B541,[1]FBCENC_PartnerAgencies_100725_r!$H$2:$L$561,5,0)</f>
        <v>W1103FP1</v>
      </c>
      <c r="F541" t="str">
        <f>VLOOKUP(B541,[1]FBCENC_PartnerAgencies_100725_r!$H$2:$M$561,6,0)</f>
        <v>Union Missionary Baptist</v>
      </c>
    </row>
    <row r="542" spans="1:6" x14ac:dyDescent="0.2">
      <c r="A542" s="1">
        <v>540</v>
      </c>
      <c r="B542" t="s">
        <v>942</v>
      </c>
      <c r="C542" t="s">
        <v>943</v>
      </c>
      <c r="D542" t="str">
        <f>VLOOKUP(B542,[1]FBCENC_PartnerAgencies_100725_r!$H$2:$K$561,4,0)</f>
        <v>W1104</v>
      </c>
      <c r="E542" t="str">
        <f>VLOOKUP(B542,[1]FBCENC_PartnerAgencies_100725_r!$H$2:$L$561,5,0)</f>
        <v>W1104FP</v>
      </c>
      <c r="F542" t="str">
        <f>VLOOKUP(B542,[1]FBCENC_PartnerAgencies_100725_r!$H$2:$M$561,6,0)</f>
        <v>Victory Independent</v>
      </c>
    </row>
    <row r="543" spans="1:6" x14ac:dyDescent="0.2">
      <c r="A543" s="1">
        <v>541</v>
      </c>
      <c r="B543" t="s">
        <v>944</v>
      </c>
      <c r="C543" t="s">
        <v>945</v>
      </c>
      <c r="D543" t="str">
        <f>VLOOKUP(B543,[1]FBCENC_PartnerAgencies_100725_r!$H$2:$K$561,4,0)</f>
        <v>W1113</v>
      </c>
      <c r="E543" t="str">
        <f>VLOOKUP(B543,[1]FBCENC_PartnerAgencies_100725_r!$H$2:$L$561,5,0)</f>
        <v>W1113FP</v>
      </c>
      <c r="F543" t="str">
        <f>VLOOKUP(B543,[1]FBCENC_PartnerAgencies_100725_r!$H$2:$M$561,6,0)</f>
        <v>Wrightsboro United Methodist</v>
      </c>
    </row>
    <row r="544" spans="1:6" x14ac:dyDescent="0.2">
      <c r="A544" s="1">
        <v>542</v>
      </c>
      <c r="B544" t="s">
        <v>946</v>
      </c>
      <c r="C544" t="s">
        <v>947</v>
      </c>
      <c r="D544" t="str">
        <f>VLOOKUP(B544,[1]FBCENC_PartnerAgencies_100725_r!$H$2:$K$561,4,0)</f>
        <v>W1131</v>
      </c>
      <c r="E544" t="str">
        <f>VLOOKUP(B544,[1]FBCENC_PartnerAgencies_100725_r!$H$2:$L$561,5,0)</f>
        <v>W1131FP</v>
      </c>
      <c r="F544" t="str">
        <f>VLOOKUP(B544,[1]FBCENC_PartnerAgencies_100725_r!$H$2:$M$561,6,0)</f>
        <v>Christian Community Caring Center</v>
      </c>
    </row>
    <row r="545" spans="1:6" x14ac:dyDescent="0.2">
      <c r="A545" s="1">
        <v>543</v>
      </c>
      <c r="B545" t="s">
        <v>948</v>
      </c>
      <c r="C545" t="s">
        <v>949</v>
      </c>
      <c r="D545" t="str">
        <f>VLOOKUP(B545,[1]FBCENC_PartnerAgencies_100725_r!$H$2:$K$561,4,0)</f>
        <v>W1133</v>
      </c>
      <c r="E545" t="str">
        <f>VLOOKUP(B545,[1]FBCENC_PartnerAgencies_100725_r!$H$2:$L$561,5,0)</f>
        <v>W1133FP</v>
      </c>
      <c r="F545" t="str">
        <f>VLOOKUP(B545,[1]FBCENC_PartnerAgencies_100725_r!$H$2:$M$561,6,0)</f>
        <v>Cornerstone Baptist Church</v>
      </c>
    </row>
    <row r="546" spans="1:6" x14ac:dyDescent="0.2">
      <c r="A546" s="1">
        <v>544</v>
      </c>
      <c r="B546" t="s">
        <v>950</v>
      </c>
      <c r="C546" t="s">
        <v>951</v>
      </c>
      <c r="D546" t="str">
        <f>VLOOKUP(B546,[1]FBCENC_PartnerAgencies_100725_r!$H$2:$K$561,4,0)</f>
        <v>W1135</v>
      </c>
      <c r="E546" t="str">
        <f>VLOOKUP(B546,[1]FBCENC_PartnerAgencies_100725_r!$H$2:$L$561,5,0)</f>
        <v>W1135FP</v>
      </c>
      <c r="F546" t="str">
        <f>VLOOKUP(B546,[1]FBCENC_PartnerAgencies_100725_r!$H$2:$M$561,6,0)</f>
        <v>Lighthouse Shining Ministries</v>
      </c>
    </row>
    <row r="547" spans="1:6" x14ac:dyDescent="0.2">
      <c r="A547" s="1">
        <v>545</v>
      </c>
      <c r="B547" t="s">
        <v>952</v>
      </c>
      <c r="C547" t="s">
        <v>953</v>
      </c>
      <c r="D547" t="str">
        <f>VLOOKUP(B547,[1]FBCENC_PartnerAgencies_100725_r!$H$2:$K$561,4,0)</f>
        <v>W1136</v>
      </c>
      <c r="E547" t="str">
        <f>VLOOKUP(B547,[1]FBCENC_PartnerAgencies_100725_r!$H$2:$L$561,5,0)</f>
        <v>W1136FP</v>
      </c>
      <c r="F547" t="str">
        <f>VLOOKUP(B547,[1]FBCENC_PartnerAgencies_100725_r!$H$2:$M$561,6,0)</f>
        <v>Iglesia Vision 3D</v>
      </c>
    </row>
    <row r="548" spans="1:6" x14ac:dyDescent="0.2">
      <c r="A548" s="1">
        <v>546</v>
      </c>
      <c r="B548" t="s">
        <v>954</v>
      </c>
      <c r="C548" t="s">
        <v>955</v>
      </c>
      <c r="D548" t="str">
        <f>VLOOKUP(B548,[1]FBCENC_PartnerAgencies_100725_r!$H$2:$K$561,4,0)</f>
        <v>W1137</v>
      </c>
      <c r="E548" t="str">
        <f>VLOOKUP(B548,[1]FBCENC_PartnerAgencies_100725_r!$H$2:$L$561,5,0)</f>
        <v>W1137FP</v>
      </c>
      <c r="F548" t="str">
        <f>VLOOKUP(B548,[1]FBCENC_PartnerAgencies_100725_r!$H$2:$M$561,6,0)</f>
        <v>Miracle on Meares Agency</v>
      </c>
    </row>
    <row r="549" spans="1:6" x14ac:dyDescent="0.2">
      <c r="A549" s="1">
        <v>547</v>
      </c>
      <c r="B549" t="s">
        <v>956</v>
      </c>
      <c r="C549" t="s">
        <v>957</v>
      </c>
      <c r="D549" t="e">
        <f>VLOOKUP(B549,[1]FBCENC_PartnerAgencies_100725_r!$H$2:$K$561,4,0)</f>
        <v>#N/A</v>
      </c>
      <c r="E549" t="e">
        <f>VLOOKUP(B549,[1]FBCENC_PartnerAgencies_100725_r!$H$2:$L$561,5,0)</f>
        <v>#N/A</v>
      </c>
      <c r="F549" t="e">
        <f>VLOOKUP(B549,[1]FBCENC_PartnerAgencies_100725_r!$H$2:$M$561,6,0)</f>
        <v>#N/A</v>
      </c>
    </row>
    <row r="550" spans="1:6" x14ac:dyDescent="0.2">
      <c r="A550" s="1">
        <v>548</v>
      </c>
      <c r="B550" t="s">
        <v>958</v>
      </c>
      <c r="C550" t="s">
        <v>877</v>
      </c>
      <c r="D550" t="str">
        <f>VLOOKUP(B550,[1]FBCENC_PartnerAgencies_100725_r!$H$2:$K$561,4,0)</f>
        <v>W1143</v>
      </c>
      <c r="E550" t="str">
        <f>VLOOKUP(B550,[1]FBCENC_PartnerAgencies_100725_r!$H$2:$L$561,5,0)</f>
        <v>W1143FP</v>
      </c>
      <c r="F550" t="str">
        <f>VLOOKUP(B550,[1]FBCENC_PartnerAgencies_100725_r!$H$2:$M$561,6,0)</f>
        <v>Beach Christian Recovery</v>
      </c>
    </row>
    <row r="551" spans="1:6" x14ac:dyDescent="0.2">
      <c r="A551" s="1">
        <v>549</v>
      </c>
      <c r="B551" t="s">
        <v>959</v>
      </c>
      <c r="C551" t="s">
        <v>960</v>
      </c>
      <c r="D551" t="str">
        <f>VLOOKUP(B551,[1]FBCENC_PartnerAgencies_100725_r!$H$2:$K$561,4,0)</f>
        <v>W1147</v>
      </c>
      <c r="E551" t="str">
        <f>VLOOKUP(B551,[1]FBCENC_PartnerAgencies_100725_r!$H$2:$L$561,5,0)</f>
        <v>W1147FP</v>
      </c>
      <c r="F551" t="str">
        <f>VLOOKUP(B551,[1]FBCENC_PartnerAgencies_100725_r!$H$2:$M$561,6,0)</f>
        <v>Liberty Baptist Church of Wilmington</v>
      </c>
    </row>
    <row r="552" spans="1:6" x14ac:dyDescent="0.2">
      <c r="A552" s="1">
        <v>550</v>
      </c>
      <c r="B552" t="s">
        <v>961</v>
      </c>
      <c r="C552" t="s">
        <v>962</v>
      </c>
      <c r="D552" t="str">
        <f>VLOOKUP(B552,[1]FBCENC_PartnerAgencies_100725_r!$H$2:$K$561,4,0)</f>
        <v>W1160</v>
      </c>
      <c r="E552" t="str">
        <f>VLOOKUP(B552,[1]FBCENC_PartnerAgencies_100725_r!$H$2:$L$561,5,0)</f>
        <v>W1160DD</v>
      </c>
      <c r="F552" t="str">
        <f>VLOOKUP(B552,[1]FBCENC_PartnerAgencies_100725_r!$H$2:$M$561,6,0)</f>
        <v>The Healing Place of New Hanover County, Inc.</v>
      </c>
    </row>
    <row r="553" spans="1:6" x14ac:dyDescent="0.2">
      <c r="A553" s="1">
        <v>551</v>
      </c>
      <c r="B553" t="s">
        <v>507</v>
      </c>
      <c r="C553" t="s">
        <v>5</v>
      </c>
      <c r="D553" t="str">
        <f>VLOOKUP(B553,[1]FBCENC_PartnerAgencies_100725_r!$H$2:$K$561,4,0)</f>
        <v>R1183</v>
      </c>
      <c r="E553" t="str">
        <f>VLOOKUP(B553,[1]FBCENC_PartnerAgencies_100725_r!$H$2:$L$561,5,0)</f>
        <v>R1183SH1</v>
      </c>
      <c r="F553" t="str">
        <f>VLOOKUP(B553,[1]FBCENC_PartnerAgencies_100725_r!$H$2:$M$561,6,0)</f>
        <v>Healing Transitions</v>
      </c>
    </row>
    <row r="554" spans="1:6" x14ac:dyDescent="0.2">
      <c r="A554" s="1">
        <v>552</v>
      </c>
      <c r="B554" t="s">
        <v>963</v>
      </c>
      <c r="C554" t="s">
        <v>33</v>
      </c>
      <c r="D554" t="str">
        <f>VLOOKUP(B554,[1]FBCENC_PartnerAgencies_100725_r!$H$2:$K$561,4,0)</f>
        <v>W1167</v>
      </c>
      <c r="E554" t="str">
        <f>VLOOKUP(B554,[1]FBCENC_PartnerAgencies_100725_r!$H$2:$L$561,5,0)</f>
        <v>W1167FP</v>
      </c>
      <c r="F554" t="str">
        <f>VLOOKUP(B554,[1]FBCENC_PartnerAgencies_100725_r!$H$2:$M$561,6,0)</f>
        <v>Ministerio Esperanza De Vida</v>
      </c>
    </row>
    <row r="555" spans="1:6" x14ac:dyDescent="0.2">
      <c r="A555" s="1">
        <v>553</v>
      </c>
      <c r="B555" t="s">
        <v>964</v>
      </c>
      <c r="C555" t="s">
        <v>965</v>
      </c>
      <c r="D555" t="str">
        <f>VLOOKUP(B555,[1]FBCENC_PartnerAgencies_100725_r!$H$2:$K$561,4,0)</f>
        <v>W1168</v>
      </c>
      <c r="E555" t="str">
        <f>VLOOKUP(B555,[1]FBCENC_PartnerAgencies_100725_r!$H$2:$L$561,5,0)</f>
        <v>W1168FP</v>
      </c>
      <c r="F555" t="str">
        <f>VLOOKUP(B555,[1]FBCENC_PartnerAgencies_100725_r!$H$2:$M$561,6,0)</f>
        <v>Shiloh Missionary Baptist Church</v>
      </c>
    </row>
    <row r="556" spans="1:6" x14ac:dyDescent="0.2">
      <c r="A556" s="1">
        <v>554</v>
      </c>
      <c r="B556" t="s">
        <v>966</v>
      </c>
      <c r="C556" t="s">
        <v>967</v>
      </c>
      <c r="D556" t="str">
        <f>VLOOKUP(B556,[1]FBCENC_PartnerAgencies_100725_r!$H$2:$K$561,4,0)</f>
        <v>W1169</v>
      </c>
      <c r="E556" t="str">
        <f>VLOOKUP(B556,[1]FBCENC_PartnerAgencies_100725_r!$H$2:$L$561,5,0)</f>
        <v>W1169FP</v>
      </c>
      <c r="F556" t="str">
        <f>VLOOKUP(B556,[1]FBCENC_PartnerAgencies_100725_r!$H$2:$M$561,6,0)</f>
        <v>Mt Calvary AME Church</v>
      </c>
    </row>
    <row r="557" spans="1:6" x14ac:dyDescent="0.2">
      <c r="A557" s="1">
        <v>555</v>
      </c>
      <c r="B557" t="s">
        <v>968</v>
      </c>
      <c r="C557" t="s">
        <v>969</v>
      </c>
      <c r="D557" t="str">
        <f>VLOOKUP(B557,[1]FBCENC_PartnerAgencies_100725_r!$H$2:$K$561,4,0)</f>
        <v>W1170</v>
      </c>
      <c r="E557" t="str">
        <f>VLOOKUP(B557,[1]FBCENC_PartnerAgencies_100725_r!$H$2:$L$561,5,0)</f>
        <v>W1170FP</v>
      </c>
      <c r="F557" t="str">
        <f>VLOOKUP(B557,[1]FBCENC_PartnerAgencies_100725_r!$H$2:$M$561,6,0)</f>
        <v>Market on Greenfield</v>
      </c>
    </row>
    <row r="558" spans="1:6" x14ac:dyDescent="0.2">
      <c r="A558" s="1">
        <v>556</v>
      </c>
      <c r="B558" t="s">
        <v>970</v>
      </c>
      <c r="C558" t="s">
        <v>971</v>
      </c>
      <c r="D558" t="str">
        <f>VLOOKUP(B558,[1]FBCENC_PartnerAgencies_100725_r!$H$2:$K$561,4,0)</f>
        <v>W1171</v>
      </c>
      <c r="E558" t="str">
        <f>VLOOKUP(B558,[1]FBCENC_PartnerAgencies_100725_r!$H$2:$L$561,5,0)</f>
        <v>W1171FP</v>
      </c>
      <c r="F558" t="str">
        <f>VLOOKUP(B558,[1]FBCENC_PartnerAgencies_100725_r!$H$2:$M$561,6,0)</f>
        <v>Royal Oak Community Food Asssistance Distribution</v>
      </c>
    </row>
    <row r="559" spans="1:6" x14ac:dyDescent="0.2">
      <c r="A559" s="1">
        <v>557</v>
      </c>
      <c r="B559" t="s">
        <v>972</v>
      </c>
      <c r="C559" t="s">
        <v>973</v>
      </c>
      <c r="D559" t="e">
        <f>VLOOKUP(B559,[1]FBCENC_PartnerAgencies_100725_r!$H$2:$K$561,4,0)</f>
        <v>#N/A</v>
      </c>
      <c r="E559" t="e">
        <f>VLOOKUP(B559,[1]FBCENC_PartnerAgencies_100725_r!$H$2:$L$561,5,0)</f>
        <v>#N/A</v>
      </c>
      <c r="F559" t="e">
        <f>VLOOKUP(B559,[1]FBCENC_PartnerAgencies_100725_r!$H$2:$M$561,6,0)</f>
        <v>#N/A</v>
      </c>
    </row>
    <row r="560" spans="1:6" x14ac:dyDescent="0.2">
      <c r="A560" s="1">
        <v>558</v>
      </c>
      <c r="B560" t="s">
        <v>974</v>
      </c>
      <c r="C560" t="s">
        <v>975</v>
      </c>
      <c r="D560" t="str">
        <f>VLOOKUP(B560,[1]FBCENC_PartnerAgencies_100725_r!$H$2:$K$561,4,0)</f>
        <v>W1172</v>
      </c>
      <c r="E560" t="str">
        <f>VLOOKUP(B560,[1]FBCENC_PartnerAgencies_100725_r!$H$2:$L$561,5,0)</f>
        <v>W1172FP</v>
      </c>
      <c r="F560" t="str">
        <f>VLOOKUP(B560,[1]FBCENC_PartnerAgencies_100725_r!$H$2:$M$561,6,0)</f>
        <v>Saint James AME Church</v>
      </c>
    </row>
    <row r="561" spans="1:6" x14ac:dyDescent="0.2">
      <c r="A561" s="1">
        <v>559</v>
      </c>
      <c r="B561" t="s">
        <v>976</v>
      </c>
      <c r="C561" t="s">
        <v>977</v>
      </c>
      <c r="D561" t="str">
        <f>VLOOKUP(B561,[1]FBCENC_PartnerAgencies_100725_r!$H$2:$K$561,4,0)</f>
        <v>W1176</v>
      </c>
      <c r="E561" t="str">
        <f>VLOOKUP(B561,[1]FBCENC_PartnerAgencies_100725_r!$H$2:$L$561,5,0)</f>
        <v>W1176FP</v>
      </c>
      <c r="F561" t="str">
        <f>VLOOKUP(B561,[1]FBCENC_PartnerAgencies_100725_r!$H$2:$M$561,6,0)</f>
        <v>Lakes Chapel Missionary Baptist Church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Rashik Siddiquee</cp:lastModifiedBy>
  <dcterms:created xsi:type="dcterms:W3CDTF">2025-11-10T06:51:44Z</dcterms:created>
  <dcterms:modified xsi:type="dcterms:W3CDTF">2025-11-10T16:58:33Z</dcterms:modified>
</cp:coreProperties>
</file>